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0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  <sheet name="Price Book" sheetId="10" state="visible" r:id="rId13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<sst xmlns="http://schemas.openxmlformats.org/spreadsheetml/2006/main" count="1008" uniqueCount="1008">
  <si>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</si>
  <si>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</si>
  <si>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</si>
  <si>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</si>
  <si>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</si>
  <si>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</si>
  <si>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</si>
  <si>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</si>
  <si>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</si>
  <si>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</si>
  <si>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</si>
  <si>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</si>
  <si>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</si>
  <si>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</si>
  <si>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</si>
  <si>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</si>
  <si>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</si>
  <si>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</si>
  <si>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</si>
  <si>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</si>
  <si>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</si>
  <si>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</si>
  <si>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</si>
  <si>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</si>
  <si>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</si>
  <si>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</si>
  <si>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</si>
  <si>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</si>
  <si>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</si>
  <si>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</si>
  <si>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</si>
  <si>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</si>
  <si>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</si>
  <si>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</si>
  <si>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</si>
  <si>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</si>
  <si>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</si>
  <si>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</si>
  <si>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</si>
  <si>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</si>
  <si>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</si>
  <si>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</si>
  <si>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</si>
  <si>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</si>
  <si>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</si>
  <si>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</si>
  <si>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</si>
  <si>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</si>
  <si>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</si>
  <si>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</si>
  <si>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</si>
  <si>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</si>
  <si>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</si>
  <si>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</si>
  <si>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</si>
  <si>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</si>
  <si>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</si>
  <si>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</si>
  <si>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</si>
  <si>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</si>
  <si>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</si>
  <si>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</si>
  <si>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</si>
  <si>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</si>
  <si>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</si>
  <si>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</si>
  <si>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</si>
  <si>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</si>
  <si>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</si>
  <si>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</si>
  <si>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</si>
  <si>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</si>
  <si>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</si>
  <si>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</si>
  <si>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</si>
  <si>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</si>
  <si>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</si>
  <si>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</si>
  <si>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</si>
  <si>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</si>
  <si>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</si>
  <si>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</si>
  <si>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</si>
  <si>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</si>
  <si>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</si>
  <si>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</si>
  <si>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</si>
  <si>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</si>
  <si>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</si>
  <si>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</si>
  <si>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</si>
  <si>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</si>
  <si>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</si>
  <si>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</si>
  <si>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</si>
  <si>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</si>
  <si>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</si>
  <si>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</si>
  <si>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</si>
  <si>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</si>
  <si>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</si>
  <si>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</si>
  <si>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</si>
  <si>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</si>
  <si>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</si>
  <si>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</si>
  <si>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</si>
  <si>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</si>
  <si>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</si>
  <si>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</si>
  <si>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</si>
  <si>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</si>
  <si>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</si>
  <si>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</si>
  <si>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</si>
  <si>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</si>
  <si>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</si>
  <si>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</si>
  <si>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</si>
  <si>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</si>
  <si>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</si>
  <si>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</si>
  <si>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</si>
  <si>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</si>
  <si>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</si>
  <si>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</si>
  <si>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</si>
  <si>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</si>
  <si>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</si>
  <si>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</si>
  <si>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</si>
  <si>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</si>
  <si>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</si>
  <si>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</si>
  <si>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</si>
  <si>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</si>
  <si>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</si>
  <si>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</si>
  <si>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</si>
  <si>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</si>
  <si>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</si>
  <si>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</si>
  <si>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</si>
  <si>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</si>
  <si>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</si>
  <si>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</si>
  <si>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</si>
  <si>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</si>
  <si>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</si>
  <si>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</si>
  <si>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</si>
  <si>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</si>
  <si>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</si>
  <si>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</si>
  <si>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</si>
  <si>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</si>
  <si>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</si>
  <si>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</si>
  <si>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</si>
  <si>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</si>
  <si>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</si>
  <si>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</si>
  <si>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</si>
  <si>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</si>
  <si>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</si>
  <si>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</si>
  <si>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</si>
  <si>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</si>
  <si>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</si>
  <si>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</si>
  <si>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</si>
  <si>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</si>
  <si>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</si>
  <si>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</si>
  <si>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</si>
  <si>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</si>
  <si>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</si>
  <si>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</si>
  <si>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</si>
  <si>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</si>
  <si>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</si>
  <si>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</si>
  <si>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</si>
  <si>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</si>
  <si>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</si>
  <si>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</si>
  <si>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</si>
  <si>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</si>
  <si>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</si>
  <si>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</si>
  <si>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</si>
  <si>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</si>
  <si>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</si>
  <si>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</si>
  <si>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</si>
  <si>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</si>
  <si>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</si>
  <si>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</si>
  <si>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</si>
  <si>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</si>
  <si>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</si>
  <si>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</si>
  <si>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</si>
  <si>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</si>
  <si>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</si>
  <si>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</si>
  <si>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</si>
  <si>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</si>
  <si>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</si>
  <si>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</si>
  <si>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</si>
  <si>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</si>
  <si>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</si>
  <si>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</si>
  <si>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</si>
  <si>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</si>
  <si>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</si>
  <si>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</si>
  <si>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</si>
  <si>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</si>
  <si>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</si>
  <si>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</si>
  <si>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</si>
  <si>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</si>
  <si>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</si>
  <si>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</si>
  <si>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</si>
  <si>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</si>
  <si>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</si>
  <si>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</si>
  <si>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</si>
  <si>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</si>
  <si>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</si>
  <si>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</si>
  <si>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</si>
  <si>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</si>
  <si>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</si>
  <si>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</si>
  <si>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</si>
  <si>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</si>
  <si>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</si>
  <si>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</si>
  <si>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</si>
  <si>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</si>
  <si>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</si>
  <si>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</si>
  <si>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</si>
  <si>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</si>
  <si>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</si>
  <si>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</si>
  <si>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</si>
  <si>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</si>
  <si>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</si>
  <si>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</si>
  <si>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</si>
  <si>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</si>
  <si>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</si>
  <si>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</si>
  <si>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</si>
  <si>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</si>
  <si>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</si>
  <si>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</si>
  <si>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</si>
  <si>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</si>
  <si>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</si>
  <si>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</si>
  <si>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</si>
  <si>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</si>
  <si>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</si>
  <si>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</si>
  <si>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</si>
  <si>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</si>
  <si>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</si>
  <si>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</si>
  <si>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</si>
  <si>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</si>
  <si>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</si>
  <si>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</si>
  <si>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</si>
  <si>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</si>
  <si>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</si>
  <si>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</si>
  <si>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</si>
  <si>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</si>
  <si>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</si>
  <si>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</si>
  <si>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</si>
  <si>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</si>
  <si>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</si>
  <si>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</si>
  <si>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</si>
  <si>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</si>
  <si>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</si>
  <si>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</si>
  <si>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</si>
  <si>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</si>
  <si>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</si>
  <si>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</si>
  <si>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</si>
  <si>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</si>
  <si>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</si>
  <si>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</si>
  <si>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</si>
  <si>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</si>
  <si>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</si>
  <si>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</si>
  <si>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</si>
  <si>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</si>
  <si>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</si>
  <si>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</si>
  <si>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</si>
  <si>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</si>
  <si>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</si>
  <si>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</si>
  <si>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</si>
  <si>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</si>
  <si>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</si>
  <si>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</si>
  <si>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</si>
  <si>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</si>
  <si>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</si>
  <si>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</si>
  <si>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</si>
  <si>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</si>
  <si>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</si>
  <si>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</si>
  <si>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</si>
  <si>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</si>
  <si>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</si>
  <si>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</si>
  <si>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</si>
  <si>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</si>
  <si>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</si>
  <si>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</si>
  <si>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</si>
  <si>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</si>
  <si>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</si>
  <si>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</si>
  <si>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</si>
  <si>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</si>
  <si>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</si>
  <si>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</si>
  <si>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</si>
  <si>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</si>
  <si>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</si>
  <si>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</si>
  <si>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</si>
  <si>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</si>
  <si>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</si>
  <si>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</si>
  <si>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</si>
  <si>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</si>
  <si>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</si>
  <si>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</si>
  <si>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</si>
  <si>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</si>
  <si>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</si>
  <si>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</si>
  <si>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</si>
  <si>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</si>
  <si>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</si>
  <si>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</si>
  <si>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</si>
  <si>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</si>
  <si>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</si>
  <si>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</si>
  <si>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</si>
  <si>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</si>
  <si>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</si>
  <si>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</si>
  <si>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</si>
  <si>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</si>
  <si>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</si>
  <si>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</si>
  <si>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</si>
  <si>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</si>
  <si>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</si>
  <si>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</si>
  <si>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</si>
  <si>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</si>
  <si>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</si>
  <si>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</si>
  <si>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</si>
  <si>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</si>
  <si>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</si>
  <si>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</si>
  <si>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</si>
  <si>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</si>
  <si>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</si>
  <si>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</si>
  <si>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</si>
  <si>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</si>
  <si>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</si>
  <si>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</si>
  <si>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</si>
  <si>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</si>
  <si>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</si>
  <si>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</si>
  <si>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</si>
  <si>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</si>
  <si>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</si>
  <si>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</si>
  <si>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</si>
  <si>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</si>
  <si>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</si>
  <si>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</si>
  <si>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</si>
  <si>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</si>
  <si>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</si>
  <si>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</si>
  <si>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</si>
  <si>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</si>
  <si>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</si>
  <si>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</si>
  <si>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</si>
  <si>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</si>
  <si>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</si>
  <si>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</si>
  <si>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</si>
  <si>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</si>
  <si>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</si>
  <si>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</si>
  <si>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</si>
  <si>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</si>
  <si>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</si>
  <si>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</si>
  <si>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</si>
  <si>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</si>
  <si>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</si>
  <si>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</si>
  <si>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</si>
  <si>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</si>
  <si>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</si>
  <si>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</si>
  <si>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</si>
  <si>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</si>
  <si>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</si>
  <si>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</si>
  <si>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</si>
  <si>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</si>
  <si>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</si>
  <si>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</si>
  <si>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</si>
  <si>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</si>
  <si>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</si>
  <si>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</si>
  <si>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</si>
  <si>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</si>
  <si>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</si>
  <si>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</si>
  <si>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</si>
  <si>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</si>
  <si>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</si>
  <si>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</si>
  <si>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</si>
  <si>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</si>
  <si>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</si>
  <si>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</si>
  <si>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</si>
  <si>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</si>
  <si>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</si>
  <si>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</si>
  <si>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</si>
  <si>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</si>
  <si>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</si>
  <si>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</si>
  <si>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</si>
  <si>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</si>
  <si>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</si>
  <si>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</si>
  <si>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</si>
  <si>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</si>
  <si>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</si>
  <si>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</si>
  <si>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</si>
  <si>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</si>
  <si>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</si>
  <si>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</si>
  <si>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</si>
  <si>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</si>
  <si>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</si>
  <si>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</si>
  <si>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</si>
  <si>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</si>
  <si>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</si>
  <si>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</si>
  <si>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</si>
  <si>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</si>
  <si>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</si>
  <si>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</si>
  <si>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</si>
  <si>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</si>
  <si>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</si>
  <si>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</si>
  <si>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</si>
  <si>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</si>
  <si>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</si>
  <si>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</si>
  <si>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</si>
  <si>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</si>
  <si>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</si>
  <si>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</si>
  <si>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</si>
  <si>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</si>
  <si>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</si>
  <si>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</si>
  <si>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</si>
  <si>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</si>
  <si>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</si>
  <si>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</si>
  <si>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</si>
  <si>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</si>
  <si>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</si>
  <si>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</si>
  <si>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</si>
  <si>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</si>
  <si>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</si>
  <si>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</si>
  <si>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</si>
  <si>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</si>
  <si>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</si>
  <si>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</si>
  <si>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</si>
  <si>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</si>
  <si>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</si>
  <si>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</si>
  <si>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</si>
  <si>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</si>
  <si>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</si>
  <si>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</si>
  <si>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</si>
  <si>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</si>
  <si>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</si>
  <si>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</si>
  <si>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</si>
  <si>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</si>
  <si>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</si>
  <si>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</si>
  <si>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</si>
  <si>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</si>
  <si>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</si>
  <si>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</si>
  <si>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</si>
  <si>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</si>
  <si>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</si>
  <si>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</si>
  <si>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</si>
  <si>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</si>
  <si>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</si>
  <si>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</si>
  <si>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</si>
  <si>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</si>
  <si>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</si>
  <si>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</si>
  <si>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</si>
  <si>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</si>
  <si>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</si>
  <si>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</si>
  <si>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</si>
  <si>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</si>
  <si>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</si>
  <si>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</si>
  <si>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</si>
  <si>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</si>
  <si>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</si>
  <si>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</si>
  <si>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</si>
  <si>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</si>
  <si>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</si>
  <si>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</si>
  <si>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</si>
  <si>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</si>
  <si>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</si>
  <si>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</si>
  <si>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</si>
  <si>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</si>
  <si>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</si>
  <si>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</si>
  <si>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</si>
  <si>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</si>
  <si>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</si>
  <si>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</si>
  <si>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</si>
  <si>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</si>
  <si>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</si>
  <si>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</si>
  <si>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</si>
  <si>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</si>
  <si>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</si>
  <si>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</si>
  <si>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</si>
  <si>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</si>
  <si>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</si>
  <si>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</si>
  <si>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</si>
  <si>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</si>
  <si>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</si>
  <si>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</si>
  <si>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</si>
  <si>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</si>
  <si>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</si>
  <si>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</si>
  <si>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</si>
  <si>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</si>
  <si>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</si>
  <si>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</si>
  <si>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</si>
  <si>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</si>
  <si>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</si>
  <si>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</si>
  <si>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</si>
  <si>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</si>
  <si>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</si>
  <si>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</si>
  <si>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</si>
  <si>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</si>
  <si>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</si>
  <si>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</si>
  <si>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</si>
  <si>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</si>
  <si>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</si>
  <si>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</si>
  <si>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</si>
  <si>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</si>
  <si>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</si>
  <si>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</si>
  <si>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</si>
  <si>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</si>
  <si>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</si>
  <si>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</si>
  <si>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</si>
  <si>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</si>
  <si>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</si>
  <si>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</si>
  <si>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</si>
  <si>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</si>
  <si>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</si>
  <si>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</si>
  <si>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</si>
  <si>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</si>
  <si>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</si>
  <si>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</si>
  <si>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</si>
  <si>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</si>
  <si>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</si>
  <si>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</si>
  <si>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</si>
  <si>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</si>
  <si>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</si>
  <si>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</si>
  <si>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</si>
  <si>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</si>
  <si>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</si>
  <si>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</si>
  <si>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</si>
  <si>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</si>
  <si>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</si>
  <si>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</si>
  <si>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</si>
  <si>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</si>
  <si>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</si>
  <si>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</si>
  <si>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</si>
  <si>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</si>
  <si>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</si>
  <si>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</si>
  <si>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</si>
  <si>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</si>
  <si>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</si>
  <si>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</si>
  <si>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</si>
  <si>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</si>
  <si>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</si>
  <si>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</si>
  <si>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</si>
  <si>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</si>
  <si>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</si>
  <si>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</si>
  <si>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</si>
  <si>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</si>
  <si>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</si>
  <si>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</si>
  <si>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</si>
  <si>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</si>
  <si>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</si>
  <si>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</si>
  <si>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</si>
  <si>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</si>
  <si>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</si>
  <si>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</si>
  <si>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</si>
  <si>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</si>
  <si>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</si>
  <si>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</si>
  <si>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</si>
  <si>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</si>
  <si>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</si>
  <si>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</si>
  <si>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</si>
  <si>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</si>
  <si>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</si>
  <si>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</si>
  <si>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</si>
  <si>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</si>
  <si>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</si>
  <si>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</si>
  <si>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</si>
  <si>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</si>
  <si>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</si>
  <si>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</si>
  <si>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</si>
  <si>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</si>
  <si>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</si>
  <si>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</si>
  <si>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</si>
  <si>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</si>
  <si>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</si>
  <si>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</si>
  <si>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</si>
  <si>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</si>
  <si>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</si>
  <si>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</si>
  <si>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</si>
  <si>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</si>
  <si>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</si>
  <si>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</si>
  <si>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</si>
  <si>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</si>
  <si>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</si>
  <si>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</si>
  <si>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</si>
  <si>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</si>
  <si>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</si>
  <si>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</si>
  <si>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</si>
  <si>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</si>
  <si>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</si>
  <si>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</si>
  <si>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</si>
  <si>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</si>
  <si>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</si>
  <si>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</si>
  <si>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</si>
  <si>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</si>
  <si>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</si>
  <si>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</si>
  <si>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</si>
  <si>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</si>
  <si>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</si>
  <si>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</si>
  <si>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</si>
  <si>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</si>
  <si>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</si>
  <si>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</si>
  <si>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</si>
  <si>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</si>
  <si>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</si>
  <si>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</si>
  <si>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</si>
  <si>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</si>
  <si>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</si>
  <si>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</si>
  <si>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</si>
  <si>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</si>
  <si>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</si>
  <si>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</si>
  <si>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</si>
  <si>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</si>
  <si>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</si>
  <si>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</si>
  <si>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</si>
  <si>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</si>
  <si>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</si>
  <si>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</si>
  <si>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</si>
  <si>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</si>
  <si>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</si>
  <si>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</si>
  <si>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</si>
  <si>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</si>
  <si>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</si>
  <si>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</si>
  <si>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</si>
  <si>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</si>
  <si>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</si>
  <si>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</si>
  <si>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</si>
  <si>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</si>
  <si>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</si>
  <si>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</si>
  <si>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</si>
  <si>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</si>
  <si>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</si>
  <si>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</si>
  <si>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</si>
  <si>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</si>
  <si>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</si>
  <si>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</si>
  <si>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</si>
  <si>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</si>
  <si>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</si>
  <si>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</si>
  <si>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</si>
  <si>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</si>
  <si>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</si>
  <si>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</si>
  <si>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</si>
  <si>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</si>
  <si>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</si>
  <si>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</si>
  <si>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</si>
  <si>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</si>
  <si>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</si>
  <si>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</si>
  <si>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</si>
  <si>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</si>
  <si>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</si>
  <si>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</si>
  <si>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</si>
  <si>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</si>
  <si>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</si>
  <si>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</si>
  <si>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</si>
  <si>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</si>
  <si>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</si>
  <si>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</si>
  <si>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</si>
  <si>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</si>
  <si>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</si>
  <si>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</si>
  <si>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</si>
  <si>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</si>
  <si>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</si>
  <si>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</si>
  <si>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</si>
  <si>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</si>
  <si>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</si>
  <si>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</si>
  <si>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</si>
  <si>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</si>
  <si>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</si>
  <si>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</si>
  <si>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</si>
  <si>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</si>
  <si>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</si>
  <si>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</si>
  <si>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</si>
  <si>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</si>
  <si>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</si>
  <si>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</si>
  <si>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</si>
  <si>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</si>
  <si>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</si>
  <si>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</si>
  <si>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</si>
  <si>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</si>
  <si>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</si>
  <si>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</si>
  <si>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</si>
  <si>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</si>
  <si>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</si>
  <si>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</si>
  <si>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</si>
  <si>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</si>
  <si>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</si>
  <si>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</si>
  <si>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</si>
  <si>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</si>
  <si>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</si>
  <si>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</si>
  <si>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</si>
  <si>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</si>
  <si>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</si>
  <si>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</si>
  <si>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</si>
  <si>
    <t>MD-089</t>
  </si>
  <si>
    <t>Cassar Ship Repair Ltd</t>
  </si>
  <si>
    <t>Slip No 6 Cross Road, Marsa</t>
  </si>
  <si>
    <t>Supply of Marble Sills</t>
  </si>
  <si>
    <t>Marble Sills</t>
  </si>
  <si>
    <t>VAT MT11461431 — Supply only — paid on delivery</t>
  </si>
  <si>
    <t>MD-090</t>
  </si>
  <si>
    <t>Marsaxlokk</t>
  </si>
  <si>
    <t>Supply of Marble for Penthouse</t>
  </si>
  <si>
    <t>Supply only — paid on delivery</t>
  </si>
  <si>
    <t>MD-091</t>
  </si>
  <si>
    <t>Malta International Airport PLC</t>
  </si>
  <si>
    <t>Luqa LQA 4000</t>
  </si>
  <si>
    <t>Supply &amp; Delivery of Lime Stone Sills (10m x 14cm + Delivery)</t>
  </si>
  <si>
    <t>Lime Stone</t>
  </si>
  <si>
    <t>MD-092</t>
  </si>
  <si>
    <t>Stalagmite Connections</t>
  </si>
  <si>
    <t>Mqabba</t>
  </si>
  <si>
    <t>Supply of Marble Stair Fgura Etienne — Deposit</t>
  </si>
  <si>
    <t>Marble Stair</t>
  </si>
  <si>
    <t>VAT 18130814 — Deposit invoice — confirm received; full balance due on completion</t>
  </si>
  <si>
    <t>MD-093</t>
  </si>
  <si>
    <t>Blane</t>
  </si>
  <si>
    <t>Santa Lucia</t>
  </si>
  <si>
    <t>Supply of Crema Marfil Sills + Delivery, Santa Lucia</t>
  </si>
  <si>
    <t>C-040</t>
  </si>
  <si>
    <t>MT11461431</t>
  </si>
  <si>
    <t>C-041</t>
  </si>
  <si>
    <t>Corporate / Airport</t>
  </si>
  <si>
    <t>C-042</t>
  </si>
  <si>
    <t>18130814</t>
  </si>
  <si>
    <t>C-043</t>
  </si>
  <si>
    <t>L-040</t>
  </si>
  <si>
    <t>Supply of Crema Marfil Sills + Delivery</t>
  </si>
  <si>
    <t>Open quote — Santa Lucia</t>
  </si>
  <si>
    <t>MD-094</t>
  </si>
  <si>
    <t>MD-095</t>
  </si>
  <si>
    <t>MD-096</t>
  </si>
  <si>
    <t>MD-097</t>
  </si>
  <si>
    <t>MD-098</t>
  </si>
  <si>
    <t>MARSA</t>
  </si>
  <si>
    <t>Supply of Crema Galala Sills + Delivery</t>
  </si>
  <si>
    <t>Quotation (Purchase Order)</t>
  </si>
  <si>
    <t>Quote/Pending</t>
  </si>
  <si>
    <t>Client name not on document — confirm client name</t>
  </si>
  <si>
    <t>Arzella Xitwija, Triq Gizi, Swieqi</t>
  </si>
  <si>
    <t>Supply of Marble Marsaskala</t>
  </si>
  <si>
    <t>Gordon Vella</t>
  </si>
  <si>
    <t>Supply of Light Travertine Sills (Sills, Stairs, Entrance)</t>
  </si>
  <si>
    <t>Light Travertine</t>
  </si>
  <si>
    <t>BJORN</t>
  </si>
  <si>
    <t>Zabbar</t>
  </si>
  <si>
    <t>Supply &amp; Install Bianco Marble &amp; Nero Assaluto</t>
  </si>
  <si>
    <t>Bianco Marble / Nero Assaluto</t>
  </si>
  <si>
    <t>Supply &amp; Install Quarzite &amp; Crema Marfil Marble (back light included with installation)</t>
  </si>
  <si>
    <t>Quarzite / Crema Marfil</t>
  </si>
  <si>
    <t>Open quote — back light included with installation; add to Measurement Pipeline</t>
  </si>
  <si>
    <t>C-044</t>
  </si>
  <si>
    <t>C-045</t>
  </si>
  <si>
    <t>C-046</t>
  </si>
  <si>
    <t>C-047</t>
  </si>
  <si>
    <t>16456105</t>
  </si>
  <si>
    <t>Corporate / TBC</t>
  </si>
  <si>
    <t>L-041</t>
  </si>
  <si>
    <t>L-042</t>
  </si>
  <si>
    <t>L-043</t>
  </si>
  <si>
    <t>L-044</t>
  </si>
  <si>
    <t>Q318 — MARSA / Marsa</t>
  </si>
  <si>
    <t>Q323 — Gordon Vella / Msida</t>
  </si>
  <si>
    <t>Q324 — BJORN / Zabbar</t>
  </si>
  <si>
    <t>Q325 — BJORN / Zabbar</t>
  </si>
  <si>
    <t>Supply of Crema Galala Sills + Delivery — Open quote</t>
  </si>
  <si>
    <t>Supply of Light Travertine Sills — Open quote</t>
  </si>
  <si>
    <t>Supply &amp; Install Bianco Marble &amp; Nero Assaluto — Open quote</t>
  </si>
  <si>
    <t>Supply &amp; Install Quarzite &amp; Crema Marfil — back light included</t>
  </si>
  <si>
    <t>Quote/Pending — client name unconfirmed on document</t>
  </si>
  <si>
    <t>Commercial</t>
  </si>
  <si>
    <t>1000302</t>
  </si>
  <si>
    <t>MD Marble — Client Price Book</t>
  </si>
  <si>
    <t>Doc Ref</t>
  </si>
  <si>
    <t>Site</t>
  </si>
  <si>
    <t>Material / Item</t>
  </si>
  <si>
    <t>Unit</t>
  </si>
  <si>
    <t>Qty</t>
  </si>
  <si>
    <t>Unit Price (€)</t>
  </si>
  <si>
    <t>Item Total (€)</t>
  </si>
  <si>
    <t>ITIANA</t>
  </si>
  <si>
    <t>VGP Property Investment Company Limited</t>
  </si>
  <si>
    <t>Q324</t>
  </si>
  <si>
    <t>Q325</t>
  </si>
  <si>
    <t>Q317</t>
  </si>
  <si>
    <t>Inv400215</t>
  </si>
  <si>
    <t>Q323</t>
  </si>
  <si>
    <t>Q310</t>
  </si>
  <si>
    <t>1000296/Q306</t>
  </si>
  <si>
    <t>1000299/Q299</t>
  </si>
  <si>
    <t>Q318</t>
  </si>
  <si>
    <t>1000298</t>
  </si>
  <si>
    <t>Q309</t>
  </si>
  <si>
    <t>Inv400217</t>
  </si>
  <si>
    <t>1000290/Q303</t>
  </si>
  <si>
    <t>Luqa</t>
  </si>
  <si>
    <t>Nero Assaluto</t>
  </si>
  <si>
    <t>Installation</t>
  </si>
  <si>
    <t>Crema Marfil Sills</t>
  </si>
  <si>
    <t>Light Travertine Sills</t>
  </si>
  <si>
    <t>Light Travertine Stairs</t>
  </si>
  <si>
    <t>Light Travertine Entrance</t>
  </si>
  <si>
    <t>Supply of Stairs and Skirting (Beige)</t>
  </si>
  <si>
    <t>Installation of Stairs and Skirting</t>
  </si>
  <si>
    <t>Travertine (1st-2nd-3rd Floor)</t>
  </si>
  <si>
    <t>Travertine (4th Floor)</t>
  </si>
  <si>
    <t>Travertine (5th Floor)</t>
  </si>
  <si>
    <t>Travertine (Ground Floor)</t>
  </si>
  <si>
    <t>Travertine (Back Yard)</t>
  </si>
  <si>
    <t>Lime Stone Sills 10m×14cm</t>
  </si>
  <si>
    <t>Crema Galala Sills</t>
  </si>
  <si>
    <t>Marble (Penthouse)</t>
  </si>
  <si>
    <t>Bianco Carrara Roof Sills</t>
  </si>
  <si>
    <t>Bianco Carrara Round Sills</t>
  </si>
  <si>
    <t>Bianco Carrara Sills Level 1+2+3+4</t>
  </si>
  <si>
    <t>Installation (all sills)</t>
  </si>
  <si>
    <t>Marble Stair Fgura Etienne (deposit)</t>
  </si>
  <si>
    <t>Bianco Carrera Sills</t>
  </si>
  <si>
    <t>Extra Piece 2.40×25cm</t>
  </si>
  <si>
    <t>Installation (incl. back light)</t>
  </si>
  <si>
    <t>unit</t>
  </si>
  <si>
    <t>SQM</t>
  </si>
  <si>
    <t>Lm</t>
  </si>
  <si>
    <t>Back light included</t>
  </si>
  <si>
    <t>Client name not confirmed on doc</t>
  </si>
  <si>
    <t>Deposit invoice — full order TBC</t>
  </si>
  <si>
    <t>Quarzite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</si>
</sst>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F3864"/>
      <name val="Arial"/>
      <family val="0"/>
    </font>
  </fonts>
  <fills count="16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  <fill>
      <patternFill patternType="solid">
        <fgColor rgb="FF1F3864"/>
        <bgColor rgb="FF1F3864"/>
      </patternFill>
    </fill>
    <fill>
      <patternFill patternType="solid">
        <fgColor rgb="FF2E4057"/>
        <bgColor rgb="FF2E4057"/>
      </patternFill>
    </fill>
    <fill>
      <patternFill patternType="solid">
        <fgColor rgb="FFFFFACD"/>
        <bgColor rgb="FFFFFA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</xf>
    <xf numFmtId="164" fontId="16" fillId="15" borderId="1" xfId="0" applyFont="true" applyBorder="true" applyAlignment="true" applyProtection="false">
      <alignment horizontal="left" vertical="center" textRotation="0" wrapText="false" indent="1" shrinkToFit="false"/>
    </xf>
    <xf numFmtId="2" fontId="10" fillId="0" borderId="1" xfId="0" applyFont="true" applyBorder="true" applyAlignment="true" applyProtection="false">
      <alignment horizontal="right" vertical="top" textRotation="0" wrapText="false" indent="0" shrinkToFit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40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6" min="15" style="1" width="13"/>
    <col collapsed="false" customWidth="true" hidden="false" outlineLevel="0" max="17" min="17" style="1" width="22"/>
    <col collapsed="false" customWidth="true" hidden="false" outlineLevel="0" max="18" min="18" style="1" width="20"/>
    <col collapsed="false" customWidth="true" hidden="false" outlineLevel="0" max="19" min="19" style="1" width="12"/>
    <col collapsed="false" customWidth="true" hidden="false" outlineLevel="0" max="20" min="20" style="1" width="16"/>
    <col collapsed="false" customWidth="true" hidden="false" outlineLevel="0" max="21" min="21" style="1" width="34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30" hidden="false" customHeight="true" outlineLevel="0" collapsed="false">
      <c r="A2" s="16" t="s">
        <v>23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6" t="s">
        <v>41</v>
      </c>
      <c r="T2" s="16" t="s">
        <v>42</v>
      </c>
      <c r="U2" s="16" t="s">
        <v>43</v>
      </c>
    </row>
    <row r="3" customFormat="false" ht="34.5" hidden="false" customHeight="true" outlineLevel="0" collapsed="false">
      <c r="A3" s="17" t="s">
        <v>44</v>
      </c>
      <c r="B3" s="18" t="n">
        <v>45625</v>
      </c>
      <c r="C3" s="19" t="s">
        <v>45</v>
      </c>
      <c r="D3" s="19" t="s">
        <v>46</v>
      </c>
      <c r="E3" s="20" t="s">
        <v>47</v>
      </c>
      <c r="F3" s="19" t="s">
        <v>48</v>
      </c>
      <c r="G3" s="17" t="s">
        <v>14</v>
      </c>
      <c r="H3" s="17" t="n">
        <v>175</v>
      </c>
      <c r="I3" s="17"/>
      <c r="J3" s="19" t="s">
        <v>17</v>
      </c>
      <c r="K3" s="17" t="s">
        <v>49</v>
      </c>
      <c r="L3" s="21" t="n">
        <v>6603.32</v>
      </c>
      <c r="M3" s="21" t="n">
        <v>1188.6</v>
      </c>
      <c r="N3" s="21" t="n">
        <v>7791.92</v>
      </c>
      <c r="O3" s="22" t="n">
        <v>0</v>
      </c>
      <c r="P3" s="23" t="n">
        <f aca="false">N3-O3</f>
        <v>7791.92</v>
      </c>
      <c r="Q3" s="19" t="s">
        <v>50</v>
      </c>
      <c r="R3" s="19" t="s">
        <v>51</v>
      </c>
      <c r="S3" s="24"/>
      <c r="T3" s="25"/>
      <c r="U3" s="20" t="s">
        <v>52</v>
      </c>
    </row>
    <row r="4" customFormat="false" ht="34.5" hidden="false" customHeight="true" outlineLevel="0" collapsed="false">
      <c r="A4" s="17" t="s">
        <v>53</v>
      </c>
      <c r="B4" s="18" t="n">
        <v>45868</v>
      </c>
      <c r="C4" s="19" t="s">
        <v>54</v>
      </c>
      <c r="D4" s="19" t="s">
        <v>55</v>
      </c>
      <c r="E4" s="20" t="s">
        <v>56</v>
      </c>
      <c r="F4" s="19" t="s">
        <v>57</v>
      </c>
      <c r="G4" s="17" t="s">
        <v>14</v>
      </c>
      <c r="H4" s="17" t="n">
        <v>229</v>
      </c>
      <c r="I4" s="17"/>
      <c r="J4" s="19" t="s">
        <v>15</v>
      </c>
      <c r="K4" s="17" t="s">
        <v>49</v>
      </c>
      <c r="L4" s="21" t="n">
        <f aca="false">756+151+340+372</f>
        <v>1619</v>
      </c>
      <c r="M4" s="21" t="n">
        <v>291.42</v>
      </c>
      <c r="N4" s="21" t="n">
        <v>1910.42</v>
      </c>
      <c r="O4" s="22" t="n">
        <v>0</v>
      </c>
      <c r="P4" s="23" t="n">
        <f aca="false">N4-O4</f>
        <v>1910.42</v>
      </c>
      <c r="Q4" s="19" t="s">
        <v>50</v>
      </c>
      <c r="R4" s="19" t="s">
        <v>51</v>
      </c>
      <c r="S4" s="24"/>
      <c r="T4" s="25"/>
      <c r="U4" s="20" t="s">
        <v>58</v>
      </c>
    </row>
    <row r="5" customFormat="false" ht="23.25" hidden="false" customHeight="true" outlineLevel="0" collapsed="false">
      <c r="A5" s="17" t="s">
        <v>59</v>
      </c>
      <c r="B5" s="18" t="n">
        <v>45905</v>
      </c>
      <c r="C5" s="19" t="s">
        <v>60</v>
      </c>
      <c r="D5" s="19" t="s">
        <v>61</v>
      </c>
      <c r="E5" s="20" t="s">
        <v>62</v>
      </c>
      <c r="F5" s="19" t="s">
        <v>63</v>
      </c>
      <c r="G5" s="17" t="s">
        <v>16</v>
      </c>
      <c r="H5" s="17" t="n">
        <v>390</v>
      </c>
      <c r="I5" s="17" t="n">
        <v>400186</v>
      </c>
      <c r="J5" s="19" t="s">
        <v>15</v>
      </c>
      <c r="K5" s="17" t="s">
        <v>64</v>
      </c>
      <c r="L5" s="21" t="n">
        <v>1380</v>
      </c>
      <c r="M5" s="21" t="n">
        <v>248.4</v>
      </c>
      <c r="N5" s="21" t="n">
        <v>1628.4</v>
      </c>
      <c r="O5" s="22" t="n">
        <v>0</v>
      </c>
      <c r="P5" s="23" t="n">
        <f aca="false">N5-O5</f>
        <v>1628.4</v>
      </c>
      <c r="Q5" s="19" t="s">
        <v>65</v>
      </c>
      <c r="R5" s="19" t="s">
        <v>38</v>
      </c>
      <c r="S5" s="24"/>
      <c r="T5" s="25"/>
      <c r="U5" s="20" t="s">
        <v>66</v>
      </c>
    </row>
    <row r="6" customFormat="false" ht="23.25" hidden="false" customHeight="true" outlineLevel="0" collapsed="false">
      <c r="A6" s="17" t="s">
        <v>67</v>
      </c>
      <c r="B6" s="18" t="n">
        <v>45917</v>
      </c>
      <c r="C6" s="19" t="s">
        <v>68</v>
      </c>
      <c r="D6" s="19" t="s">
        <v>69</v>
      </c>
      <c r="E6" s="20" t="s">
        <v>70</v>
      </c>
      <c r="F6" s="19" t="s">
        <v>71</v>
      </c>
      <c r="G6" s="17" t="s">
        <v>14</v>
      </c>
      <c r="H6" s="17" t="n">
        <v>239</v>
      </c>
      <c r="I6" s="17"/>
      <c r="J6" s="19" t="s">
        <v>17</v>
      </c>
      <c r="K6" s="17" t="s">
        <v>49</v>
      </c>
      <c r="L6" s="21" t="n">
        <v>3770</v>
      </c>
      <c r="M6" s="21" t="n">
        <v>678.6</v>
      </c>
      <c r="N6" s="21" t="n">
        <v>4448.6</v>
      </c>
      <c r="O6" s="22" t="n">
        <v>0</v>
      </c>
      <c r="P6" s="23" t="n">
        <f aca="false">N6-O6</f>
        <v>4448.6</v>
      </c>
      <c r="Q6" s="19" t="s">
        <v>50</v>
      </c>
      <c r="R6" s="19" t="s">
        <v>51</v>
      </c>
      <c r="S6" s="24"/>
      <c r="T6" s="25"/>
      <c r="U6" s="20" t="s">
        <v>72</v>
      </c>
    </row>
    <row r="7" customFormat="false" ht="23.25" hidden="false" customHeight="true" outlineLevel="0" collapsed="false">
      <c r="A7" s="17" t="s">
        <v>73</v>
      </c>
      <c r="B7" s="18" t="n">
        <v>45918</v>
      </c>
      <c r="C7" s="19" t="s">
        <v>74</v>
      </c>
      <c r="D7" s="19" t="s">
        <v>75</v>
      </c>
      <c r="E7" s="20" t="s">
        <v>76</v>
      </c>
      <c r="F7" s="19" t="s">
        <v>77</v>
      </c>
      <c r="G7" s="17" t="s">
        <v>18</v>
      </c>
      <c r="H7" s="17"/>
      <c r="I7" s="17" t="n">
        <v>1000236</v>
      </c>
      <c r="J7" s="19" t="s">
        <v>15</v>
      </c>
      <c r="K7" s="17" t="s">
        <v>64</v>
      </c>
      <c r="L7" s="21" t="n">
        <v>225</v>
      </c>
      <c r="M7" s="21" t="n">
        <v>40.5</v>
      </c>
      <c r="N7" s="21" t="n">
        <v>265.5</v>
      </c>
      <c r="O7" s="22" t="n">
        <v>0</v>
      </c>
      <c r="P7" s="23" t="n">
        <f aca="false">N7-O7</f>
        <v>265.5</v>
      </c>
      <c r="Q7" s="19" t="s">
        <v>65</v>
      </c>
      <c r="R7" s="19" t="s">
        <v>38</v>
      </c>
      <c r="S7" s="24"/>
      <c r="T7" s="25"/>
      <c r="U7" s="20" t="s">
        <v>78</v>
      </c>
    </row>
    <row r="8" customFormat="false" ht="23.25" hidden="false" customHeight="true" outlineLevel="0" collapsed="false">
      <c r="A8" s="17" t="s">
        <v>79</v>
      </c>
      <c r="B8" s="18" t="n">
        <v>45923</v>
      </c>
      <c r="C8" s="19" t="s">
        <v>80</v>
      </c>
      <c r="D8" s="19" t="s">
        <v>81</v>
      </c>
      <c r="E8" s="20" t="s">
        <v>82</v>
      </c>
      <c r="F8" s="19" t="s">
        <v>83</v>
      </c>
      <c r="G8" s="17" t="s">
        <v>18</v>
      </c>
      <c r="H8" s="17"/>
      <c r="I8" s="17" t="n">
        <v>1000238</v>
      </c>
      <c r="J8" s="19" t="s">
        <v>15</v>
      </c>
      <c r="K8" s="17" t="s">
        <v>64</v>
      </c>
      <c r="L8" s="21" t="n">
        <v>282</v>
      </c>
      <c r="M8" s="21" t="n">
        <v>50.76</v>
      </c>
      <c r="N8" s="21" t="n">
        <v>332.76</v>
      </c>
      <c r="O8" s="22" t="n">
        <v>0</v>
      </c>
      <c r="P8" s="23" t="n">
        <f aca="false">N8-O8</f>
        <v>332.76</v>
      </c>
      <c r="Q8" s="19" t="s">
        <v>65</v>
      </c>
      <c r="R8" s="19" t="s">
        <v>38</v>
      </c>
      <c r="S8" s="24"/>
      <c r="T8" s="25"/>
      <c r="U8" s="20" t="s">
        <v>84</v>
      </c>
    </row>
    <row r="9" customFormat="false" ht="23.25" hidden="false" customHeight="true" outlineLevel="0" collapsed="false">
      <c r="A9" s="17" t="s">
        <v>85</v>
      </c>
      <c r="B9" s="18" t="n">
        <v>45926</v>
      </c>
      <c r="C9" s="19" t="s">
        <v>86</v>
      </c>
      <c r="D9" s="19" t="s">
        <v>87</v>
      </c>
      <c r="E9" s="20" t="s">
        <v>88</v>
      </c>
      <c r="F9" s="19" t="s">
        <v>89</v>
      </c>
      <c r="G9" s="17" t="s">
        <v>20</v>
      </c>
      <c r="H9" s="17" t="n">
        <v>29</v>
      </c>
      <c r="I9" s="17" t="s">
        <v>90</v>
      </c>
      <c r="J9" s="19" t="s">
        <v>17</v>
      </c>
      <c r="K9" s="17" t="s">
        <v>91</v>
      </c>
      <c r="L9" s="21" t="n">
        <v>8474.58</v>
      </c>
      <c r="M9" s="21" t="n">
        <v>1525.42</v>
      </c>
      <c r="N9" s="21" t="n">
        <v>10000</v>
      </c>
      <c r="O9" s="22" t="n">
        <v>0</v>
      </c>
      <c r="P9" s="23" t="n">
        <f aca="false">N9-O9</f>
        <v>10000</v>
      </c>
      <c r="Q9" s="19" t="s">
        <v>92</v>
      </c>
      <c r="R9" s="19" t="s">
        <v>20</v>
      </c>
      <c r="S9" s="24"/>
      <c r="T9" s="25"/>
      <c r="U9" s="20" t="s">
        <v>93</v>
      </c>
    </row>
    <row r="10" customFormat="false" ht="15" hidden="false" customHeight="true" outlineLevel="0" collapsed="false">
      <c r="A10" s="17" t="s">
        <v>94</v>
      </c>
      <c r="B10" s="18" t="n">
        <v>45926</v>
      </c>
      <c r="C10" s="19" t="s">
        <v>86</v>
      </c>
      <c r="D10" s="19" t="s">
        <v>87</v>
      </c>
      <c r="E10" s="20" t="s">
        <v>95</v>
      </c>
      <c r="F10" s="19" t="s">
        <v>89</v>
      </c>
      <c r="G10" s="17" t="s">
        <v>16</v>
      </c>
      <c r="H10" s="17" t="n">
        <v>390</v>
      </c>
      <c r="I10" s="17" t="n">
        <v>400191</v>
      </c>
      <c r="J10" s="19" t="s">
        <v>17</v>
      </c>
      <c r="K10" s="17" t="s">
        <v>64</v>
      </c>
      <c r="L10" s="21" t="n">
        <v>8898.31</v>
      </c>
      <c r="M10" s="21" t="n">
        <v>1601.7</v>
      </c>
      <c r="N10" s="21" t="n">
        <v>10500.01</v>
      </c>
      <c r="O10" s="22" t="n">
        <v>0</v>
      </c>
      <c r="P10" s="23" t="n">
        <f aca="false">N10-O10</f>
        <v>10500.01</v>
      </c>
      <c r="Q10" s="19" t="s">
        <v>96</v>
      </c>
      <c r="R10" s="19" t="s">
        <v>38</v>
      </c>
      <c r="S10" s="24"/>
      <c r="T10" s="25"/>
      <c r="U10" s="20" t="s">
        <v>97</v>
      </c>
    </row>
    <row r="11" customFormat="false" ht="23.25" hidden="false" customHeight="true" outlineLevel="0" collapsed="false">
      <c r="A11" s="17" t="s">
        <v>98</v>
      </c>
      <c r="B11" s="18" t="n">
        <v>45929</v>
      </c>
      <c r="C11" s="19" t="s">
        <v>99</v>
      </c>
      <c r="D11" s="19" t="s">
        <v>61</v>
      </c>
      <c r="E11" s="20" t="s">
        <v>100</v>
      </c>
      <c r="F11" s="19" t="s">
        <v>101</v>
      </c>
      <c r="G11" s="17" t="s">
        <v>16</v>
      </c>
      <c r="H11" s="17" t="n">
        <v>390</v>
      </c>
      <c r="I11" s="17" t="n">
        <v>400192</v>
      </c>
      <c r="J11" s="19" t="s">
        <v>15</v>
      </c>
      <c r="K11" s="17" t="s">
        <v>64</v>
      </c>
      <c r="L11" s="21" t="n">
        <v>3000</v>
      </c>
      <c r="M11" s="21" t="n">
        <v>540</v>
      </c>
      <c r="N11" s="21" t="n">
        <v>3540</v>
      </c>
      <c r="O11" s="22" t="n">
        <v>0</v>
      </c>
      <c r="P11" s="23" t="n">
        <f aca="false">N11-O11</f>
        <v>3540</v>
      </c>
      <c r="Q11" s="19" t="s">
        <v>65</v>
      </c>
      <c r="R11" s="19" t="s">
        <v>38</v>
      </c>
      <c r="S11" s="24"/>
      <c r="T11" s="25"/>
      <c r="U11" s="20" t="s">
        <v>102</v>
      </c>
    </row>
    <row r="12" customFormat="false" ht="23.25" hidden="false" customHeight="true" outlineLevel="0" collapsed="false">
      <c r="A12" s="17" t="s">
        <v>103</v>
      </c>
      <c r="B12" s="18" t="n">
        <v>45931</v>
      </c>
      <c r="C12" s="19" t="s">
        <v>104</v>
      </c>
      <c r="D12" s="19" t="s">
        <v>105</v>
      </c>
      <c r="E12" s="20" t="s">
        <v>106</v>
      </c>
      <c r="F12" s="19" t="s">
        <v>107</v>
      </c>
      <c r="G12" s="17" t="s">
        <v>14</v>
      </c>
      <c r="H12" s="17" t="n">
        <v>243</v>
      </c>
      <c r="I12" s="17"/>
      <c r="J12" s="19" t="s">
        <v>17</v>
      </c>
      <c r="K12" s="17" t="s">
        <v>49</v>
      </c>
      <c r="L12" s="21" t="n">
        <v>4330</v>
      </c>
      <c r="M12" s="21" t="n">
        <v>779.4</v>
      </c>
      <c r="N12" s="21" t="n">
        <v>5109.4</v>
      </c>
      <c r="O12" s="22" t="n">
        <v>0</v>
      </c>
      <c r="P12" s="23" t="n">
        <f aca="false">N12-O12</f>
        <v>5109.4</v>
      </c>
      <c r="Q12" s="19" t="s">
        <v>50</v>
      </c>
      <c r="R12" s="19" t="s">
        <v>51</v>
      </c>
      <c r="S12" s="24"/>
      <c r="T12" s="25"/>
      <c r="U12" s="20" t="s">
        <v>108</v>
      </c>
    </row>
    <row r="13" customFormat="false" ht="23.25" hidden="false" customHeight="true" outlineLevel="0" collapsed="false">
      <c r="A13" s="17" t="s">
        <v>109</v>
      </c>
      <c r="B13" s="18" t="n">
        <v>45936</v>
      </c>
      <c r="C13" s="19" t="s">
        <v>110</v>
      </c>
      <c r="D13" s="19" t="s">
        <v>111</v>
      </c>
      <c r="E13" s="20" t="s">
        <v>112</v>
      </c>
      <c r="F13" s="19" t="s">
        <v>89</v>
      </c>
      <c r="G13" s="17" t="s">
        <v>16</v>
      </c>
      <c r="H13" s="17" t="n">
        <v>390</v>
      </c>
      <c r="I13" s="17" t="n">
        <v>400193</v>
      </c>
      <c r="J13" s="19" t="s">
        <v>15</v>
      </c>
      <c r="K13" s="17" t="s">
        <v>64</v>
      </c>
      <c r="L13" s="21" t="n">
        <v>690</v>
      </c>
      <c r="M13" s="21" t="n">
        <v>124.2</v>
      </c>
      <c r="N13" s="21" t="n">
        <v>814.2</v>
      </c>
      <c r="O13" s="22" t="n">
        <v>0</v>
      </c>
      <c r="P13" s="23" t="n">
        <f aca="false">N13-O13</f>
        <v>814.2</v>
      </c>
      <c r="Q13" s="19" t="s">
        <v>65</v>
      </c>
      <c r="R13" s="19" t="s">
        <v>38</v>
      </c>
      <c r="S13" s="24"/>
      <c r="T13" s="25"/>
      <c r="U13" s="20" t="s">
        <v>113</v>
      </c>
    </row>
    <row r="14" customFormat="false" ht="23.25" hidden="false" customHeight="true" outlineLevel="0" collapsed="false">
      <c r="A14" s="17" t="s">
        <v>114</v>
      </c>
      <c r="B14" s="18" t="n">
        <v>45959</v>
      </c>
      <c r="C14" s="19" t="s">
        <v>110</v>
      </c>
      <c r="D14" s="19" t="s">
        <v>115</v>
      </c>
      <c r="E14" s="20" t="s">
        <v>116</v>
      </c>
      <c r="F14" s="19" t="s">
        <v>117</v>
      </c>
      <c r="G14" s="17" t="s">
        <v>14</v>
      </c>
      <c r="H14" s="17" t="n">
        <v>259</v>
      </c>
      <c r="I14" s="17"/>
      <c r="J14" s="19" t="s">
        <v>17</v>
      </c>
      <c r="K14" s="17" t="s">
        <v>49</v>
      </c>
      <c r="L14" s="21" t="n">
        <v>480</v>
      </c>
      <c r="M14" s="21" t="n">
        <v>86.4</v>
      </c>
      <c r="N14" s="21" t="n">
        <v>566.4</v>
      </c>
      <c r="O14" s="22" t="n">
        <v>0</v>
      </c>
      <c r="P14" s="23" t="n">
        <f aca="false">N14-O14</f>
        <v>566.4</v>
      </c>
      <c r="Q14" s="19" t="s">
        <v>50</v>
      </c>
      <c r="R14" s="19" t="s">
        <v>51</v>
      </c>
      <c r="S14" s="24"/>
      <c r="T14" s="25"/>
      <c r="U14" s="20" t="s">
        <v>118</v>
      </c>
    </row>
    <row r="15" customFormat="false" ht="23.25" hidden="false" customHeight="true" outlineLevel="0" collapsed="false">
      <c r="A15" s="17" t="s">
        <v>119</v>
      </c>
      <c r="B15" s="18" t="n">
        <v>45959</v>
      </c>
      <c r="C15" s="19" t="s">
        <v>120</v>
      </c>
      <c r="D15" s="19" t="s">
        <v>121</v>
      </c>
      <c r="E15" s="20" t="s">
        <v>122</v>
      </c>
      <c r="F15" s="19" t="s">
        <v>123</v>
      </c>
      <c r="G15" s="17" t="s">
        <v>14</v>
      </c>
      <c r="H15" s="17" t="n">
        <v>258</v>
      </c>
      <c r="I15" s="17"/>
      <c r="J15" s="19" t="s">
        <v>17</v>
      </c>
      <c r="K15" s="17" t="s">
        <v>49</v>
      </c>
      <c r="L15" s="21" t="n">
        <f aca="false">2170+150</f>
        <v>2320</v>
      </c>
      <c r="M15" s="21" t="n">
        <v>417.6</v>
      </c>
      <c r="N15" s="21" t="n">
        <v>2737.6</v>
      </c>
      <c r="O15" s="22" t="n">
        <v>0</v>
      </c>
      <c r="P15" s="23" t="n">
        <f aca="false">N15-O15</f>
        <v>2737.6</v>
      </c>
      <c r="Q15" s="19" t="s">
        <v>50</v>
      </c>
      <c r="R15" s="19" t="s">
        <v>51</v>
      </c>
      <c r="S15" s="24"/>
      <c r="T15" s="25"/>
      <c r="U15" s="20" t="s">
        <v>124</v>
      </c>
    </row>
    <row r="16" customFormat="false" ht="23.25" hidden="false" customHeight="true" outlineLevel="0" collapsed="false">
      <c r="A16" s="17" t="s">
        <v>125</v>
      </c>
      <c r="B16" s="18" t="n">
        <v>45965</v>
      </c>
      <c r="C16" s="19" t="s">
        <v>86</v>
      </c>
      <c r="D16" s="19" t="s">
        <v>126</v>
      </c>
      <c r="E16" s="20" t="s">
        <v>127</v>
      </c>
      <c r="F16" s="19" t="s">
        <v>89</v>
      </c>
      <c r="G16" s="17" t="s">
        <v>18</v>
      </c>
      <c r="H16" s="17"/>
      <c r="I16" s="17" t="n">
        <v>1000252</v>
      </c>
      <c r="J16" s="19" t="s">
        <v>17</v>
      </c>
      <c r="K16" s="17" t="s">
        <v>64</v>
      </c>
      <c r="L16" s="21" t="n">
        <v>5554</v>
      </c>
      <c r="M16" s="21" t="n">
        <v>999.72</v>
      </c>
      <c r="N16" s="21" t="n">
        <v>6553.72</v>
      </c>
      <c r="O16" s="22" t="n">
        <v>0</v>
      </c>
      <c r="P16" s="23" t="n">
        <f aca="false">N16-O16</f>
        <v>6553.72</v>
      </c>
      <c r="Q16" s="19" t="s">
        <v>96</v>
      </c>
      <c r="R16" s="19" t="s">
        <v>38</v>
      </c>
      <c r="S16" s="24"/>
      <c r="T16" s="25"/>
      <c r="U16" s="20" t="s">
        <v>128</v>
      </c>
    </row>
    <row r="17" customFormat="false" ht="23.25" hidden="false" customHeight="true" outlineLevel="0" collapsed="false">
      <c r="A17" s="17" t="s">
        <v>129</v>
      </c>
      <c r="B17" s="18" t="n">
        <v>45965</v>
      </c>
      <c r="C17" s="19" t="s">
        <v>130</v>
      </c>
      <c r="D17" s="19" t="s">
        <v>69</v>
      </c>
      <c r="E17" s="20" t="s">
        <v>131</v>
      </c>
      <c r="F17" s="19" t="s">
        <v>132</v>
      </c>
      <c r="G17" s="17" t="s">
        <v>18</v>
      </c>
      <c r="H17" s="17"/>
      <c r="I17" s="17" t="n">
        <v>1000253</v>
      </c>
      <c r="J17" s="19" t="s">
        <v>15</v>
      </c>
      <c r="K17" s="17" t="s">
        <v>64</v>
      </c>
      <c r="L17" s="21" t="n">
        <v>2300</v>
      </c>
      <c r="M17" s="21" t="n">
        <v>414</v>
      </c>
      <c r="N17" s="21" t="n">
        <v>2714</v>
      </c>
      <c r="O17" s="22" t="n">
        <v>0</v>
      </c>
      <c r="P17" s="23" t="n">
        <f aca="false">N17-O17</f>
        <v>2714</v>
      </c>
      <c r="Q17" s="19" t="s">
        <v>65</v>
      </c>
      <c r="R17" s="19" t="s">
        <v>38</v>
      </c>
      <c r="S17" s="24"/>
      <c r="T17" s="25"/>
      <c r="U17" s="20" t="s">
        <v>133</v>
      </c>
    </row>
    <row r="18" customFormat="false" ht="23.25" hidden="false" customHeight="true" outlineLevel="0" collapsed="false">
      <c r="A18" s="17" t="s">
        <v>134</v>
      </c>
      <c r="B18" s="18" t="n">
        <v>45965</v>
      </c>
      <c r="C18" s="19" t="s">
        <v>104</v>
      </c>
      <c r="D18" s="19" t="s">
        <v>105</v>
      </c>
      <c r="E18" s="20" t="s">
        <v>135</v>
      </c>
      <c r="F18" s="19" t="s">
        <v>136</v>
      </c>
      <c r="G18" s="17" t="s">
        <v>18</v>
      </c>
      <c r="H18" s="17"/>
      <c r="I18" s="17" t="n">
        <v>1000254</v>
      </c>
      <c r="J18" s="19" t="s">
        <v>17</v>
      </c>
      <c r="K18" s="17" t="s">
        <v>64</v>
      </c>
      <c r="L18" s="21" t="n">
        <v>265</v>
      </c>
      <c r="M18" s="21" t="n">
        <v>47.7</v>
      </c>
      <c r="N18" s="21" t="n">
        <v>312.7</v>
      </c>
      <c r="O18" s="22" t="n">
        <v>0</v>
      </c>
      <c r="P18" s="23" t="n">
        <f aca="false">N18-O18</f>
        <v>312.7</v>
      </c>
      <c r="Q18" s="19" t="s">
        <v>96</v>
      </c>
      <c r="R18" s="19" t="s">
        <v>38</v>
      </c>
      <c r="S18" s="24"/>
      <c r="T18" s="25"/>
      <c r="U18" s="20" t="s">
        <v>137</v>
      </c>
    </row>
    <row r="19" customFormat="false" ht="15" hidden="false" customHeight="true" outlineLevel="0" collapsed="false">
      <c r="A19" s="17" t="s">
        <v>138</v>
      </c>
      <c r="B19" s="18" t="n">
        <v>45966</v>
      </c>
      <c r="C19" s="19" t="s">
        <v>139</v>
      </c>
      <c r="D19" s="19" t="s">
        <v>140</v>
      </c>
      <c r="E19" s="20" t="s">
        <v>141</v>
      </c>
      <c r="F19" s="19" t="s">
        <v>142</v>
      </c>
      <c r="G19" s="17" t="s">
        <v>18</v>
      </c>
      <c r="H19" s="17"/>
      <c r="I19" s="17" t="n">
        <v>1000255</v>
      </c>
      <c r="J19" s="19" t="s">
        <v>15</v>
      </c>
      <c r="K19" s="17" t="s">
        <v>64</v>
      </c>
      <c r="L19" s="21" t="n">
        <v>1485</v>
      </c>
      <c r="M19" s="21" t="n">
        <v>267.3</v>
      </c>
      <c r="N19" s="21" t="n">
        <v>1752.3</v>
      </c>
      <c r="O19" s="22" t="n">
        <v>0</v>
      </c>
      <c r="P19" s="23" t="n">
        <f aca="false">N19-O19</f>
        <v>1752.3</v>
      </c>
      <c r="Q19" s="19" t="s">
        <v>65</v>
      </c>
      <c r="R19" s="19" t="s">
        <v>38</v>
      </c>
      <c r="S19" s="24"/>
      <c r="T19" s="25"/>
      <c r="U19" s="20" t="s">
        <v>143</v>
      </c>
    </row>
    <row r="20" customFormat="false" ht="23.25" hidden="false" customHeight="true" outlineLevel="0" collapsed="false">
      <c r="A20" s="17" t="s">
        <v>144</v>
      </c>
      <c r="B20" s="18" t="n">
        <v>45966</v>
      </c>
      <c r="C20" s="19" t="s">
        <v>110</v>
      </c>
      <c r="D20" s="19" t="s">
        <v>145</v>
      </c>
      <c r="E20" s="20" t="s">
        <v>146</v>
      </c>
      <c r="F20" s="19" t="s">
        <v>147</v>
      </c>
      <c r="G20" s="17" t="s">
        <v>16</v>
      </c>
      <c r="H20" s="17" t="n">
        <v>390</v>
      </c>
      <c r="I20" s="17" t="n">
        <v>400195</v>
      </c>
      <c r="J20" s="19" t="s">
        <v>19</v>
      </c>
      <c r="K20" s="17" t="s">
        <v>64</v>
      </c>
      <c r="L20" s="21" t="n">
        <v>800</v>
      </c>
      <c r="M20" s="21" t="n">
        <v>144</v>
      </c>
      <c r="N20" s="21" t="n">
        <v>944</v>
      </c>
      <c r="O20" s="22" t="n">
        <v>0</v>
      </c>
      <c r="P20" s="23" t="n">
        <f aca="false">N20-O20</f>
        <v>944</v>
      </c>
      <c r="Q20" s="19" t="s">
        <v>92</v>
      </c>
      <c r="R20" s="19" t="s">
        <v>38</v>
      </c>
      <c r="S20" s="24"/>
      <c r="T20" s="25"/>
      <c r="U20" s="20" t="s">
        <v>148</v>
      </c>
    </row>
    <row r="21" customFormat="false" ht="23.25" hidden="false" customHeight="true" outlineLevel="0" collapsed="false">
      <c r="A21" s="17" t="s">
        <v>149</v>
      </c>
      <c r="B21" s="18" t="n">
        <v>45967</v>
      </c>
      <c r="C21" s="19" t="s">
        <v>150</v>
      </c>
      <c r="D21" s="19" t="s">
        <v>151</v>
      </c>
      <c r="E21" s="20" t="s">
        <v>152</v>
      </c>
      <c r="F21" s="19" t="s">
        <v>153</v>
      </c>
      <c r="G21" s="17" t="s">
        <v>18</v>
      </c>
      <c r="H21" s="17"/>
      <c r="I21" s="17" t="n">
        <v>1000256</v>
      </c>
      <c r="J21" s="19" t="s">
        <v>15</v>
      </c>
      <c r="K21" s="17" t="s">
        <v>64</v>
      </c>
      <c r="L21" s="21" t="n">
        <v>370</v>
      </c>
      <c r="M21" s="21" t="n">
        <v>66.6</v>
      </c>
      <c r="N21" s="21" t="n">
        <v>436.6</v>
      </c>
      <c r="O21" s="22" t="n">
        <v>0</v>
      </c>
      <c r="P21" s="23" t="n">
        <f aca="false">N21-O21</f>
        <v>436.6</v>
      </c>
      <c r="Q21" s="19" t="s">
        <v>65</v>
      </c>
      <c r="R21" s="19" t="s">
        <v>38</v>
      </c>
      <c r="S21" s="24"/>
      <c r="T21" s="25"/>
      <c r="U21" s="20" t="s">
        <v>154</v>
      </c>
    </row>
    <row r="22" customFormat="false" ht="68.25" hidden="false" customHeight="true" outlineLevel="0" collapsed="false">
      <c r="A22" s="17" t="s">
        <v>155</v>
      </c>
      <c r="B22" s="18" t="n">
        <v>45975</v>
      </c>
      <c r="C22" s="19" t="s">
        <v>156</v>
      </c>
      <c r="D22" s="19" t="s">
        <v>157</v>
      </c>
      <c r="E22" s="20" t="s">
        <v>158</v>
      </c>
      <c r="F22" s="19" t="s">
        <v>159</v>
      </c>
      <c r="G22" s="17" t="s">
        <v>18</v>
      </c>
      <c r="H22" s="17" t="n">
        <v>227</v>
      </c>
      <c r="I22" s="17" t="n">
        <v>1000258</v>
      </c>
      <c r="J22" s="19" t="s">
        <v>17</v>
      </c>
      <c r="K22" s="17" t="s">
        <v>64</v>
      </c>
      <c r="L22" s="21" t="n">
        <v>7020</v>
      </c>
      <c r="M22" s="21" t="n">
        <v>1263.6</v>
      </c>
      <c r="N22" s="21" t="n">
        <v>8283.6</v>
      </c>
      <c r="O22" s="22" t="n">
        <v>0</v>
      </c>
      <c r="P22" s="23" t="n">
        <f aca="false">N22-O22</f>
        <v>8283.6</v>
      </c>
      <c r="Q22" s="19" t="s">
        <v>96</v>
      </c>
      <c r="R22" s="19" t="s">
        <v>38</v>
      </c>
      <c r="S22" s="24"/>
      <c r="T22" s="25"/>
      <c r="U22" s="20" t="s">
        <v>160</v>
      </c>
    </row>
    <row r="23" customFormat="false" ht="15" hidden="false" customHeight="true" outlineLevel="0" collapsed="false">
      <c r="A23" s="17" t="s">
        <v>161</v>
      </c>
      <c r="B23" s="18" t="n">
        <v>45973</v>
      </c>
      <c r="C23" s="19" t="s">
        <v>162</v>
      </c>
      <c r="D23" s="19" t="s">
        <v>163</v>
      </c>
      <c r="E23" s="20" t="s">
        <v>164</v>
      </c>
      <c r="F23" s="19" t="s">
        <v>165</v>
      </c>
      <c r="G23" s="17" t="s">
        <v>18</v>
      </c>
      <c r="H23" s="17"/>
      <c r="I23" s="17" t="n">
        <v>1000257</v>
      </c>
      <c r="J23" s="19" t="s">
        <v>15</v>
      </c>
      <c r="K23" s="17" t="s">
        <v>64</v>
      </c>
      <c r="L23" s="21" t="n">
        <v>384</v>
      </c>
      <c r="M23" s="21" t="n">
        <v>69.12</v>
      </c>
      <c r="N23" s="21" t="n">
        <v>453.12</v>
      </c>
      <c r="O23" s="22" t="n">
        <v>0</v>
      </c>
      <c r="P23" s="23" t="n">
        <f aca="false">N23-O23</f>
        <v>453.12</v>
      </c>
      <c r="Q23" s="19" t="s">
        <v>65</v>
      </c>
      <c r="R23" s="19" t="s">
        <v>38</v>
      </c>
      <c r="S23" s="24"/>
      <c r="T23" s="25"/>
      <c r="U23" s="20" t="s">
        <v>166</v>
      </c>
    </row>
    <row r="24" customFormat="false" ht="34.5" hidden="false" customHeight="true" outlineLevel="0" collapsed="false">
      <c r="A24" s="17" t="s">
        <v>167</v>
      </c>
      <c r="B24" s="18" t="n">
        <v>45976</v>
      </c>
      <c r="C24" s="19" t="s">
        <v>168</v>
      </c>
      <c r="D24" s="19" t="s">
        <v>69</v>
      </c>
      <c r="E24" s="20" t="s">
        <v>169</v>
      </c>
      <c r="F24" s="19" t="s">
        <v>170</v>
      </c>
      <c r="G24" s="17" t="s">
        <v>14</v>
      </c>
      <c r="H24" s="17" t="n">
        <v>264</v>
      </c>
      <c r="I24" s="17"/>
      <c r="J24" s="19" t="s">
        <v>15</v>
      </c>
      <c r="K24" s="17" t="s">
        <v>49</v>
      </c>
      <c r="L24" s="21" t="n">
        <v>3400</v>
      </c>
      <c r="M24" s="21" t="n">
        <v>612</v>
      </c>
      <c r="N24" s="21" t="n">
        <v>4012</v>
      </c>
      <c r="O24" s="22" t="n">
        <v>0</v>
      </c>
      <c r="P24" s="23" t="n">
        <f aca="false">N24-O24</f>
        <v>4012</v>
      </c>
      <c r="Q24" s="19" t="s">
        <v>50</v>
      </c>
      <c r="R24" s="19" t="s">
        <v>51</v>
      </c>
      <c r="S24" s="24"/>
      <c r="T24" s="25"/>
      <c r="U24" s="20" t="s">
        <v>171</v>
      </c>
    </row>
    <row r="25" customFormat="false" ht="34.5" hidden="false" customHeight="true" outlineLevel="0" collapsed="false">
      <c r="A25" s="17" t="s">
        <v>172</v>
      </c>
      <c r="B25" s="18" t="n">
        <v>45976</v>
      </c>
      <c r="C25" s="19" t="s">
        <v>168</v>
      </c>
      <c r="D25" s="19" t="s">
        <v>69</v>
      </c>
      <c r="E25" s="20" t="s">
        <v>173</v>
      </c>
      <c r="F25" s="19" t="s">
        <v>174</v>
      </c>
      <c r="G25" s="17" t="s">
        <v>14</v>
      </c>
      <c r="H25" s="17" t="n">
        <v>265</v>
      </c>
      <c r="I25" s="17"/>
      <c r="J25" s="19" t="s">
        <v>15</v>
      </c>
      <c r="K25" s="17" t="s">
        <v>49</v>
      </c>
      <c r="L25" s="21" t="n">
        <v>3025</v>
      </c>
      <c r="M25" s="21" t="n">
        <v>544.5</v>
      </c>
      <c r="N25" s="21" t="n">
        <v>3569.5</v>
      </c>
      <c r="O25" s="22" t="n">
        <v>0</v>
      </c>
      <c r="P25" s="23" t="n">
        <f aca="false">N25-O25</f>
        <v>3569.5</v>
      </c>
      <c r="Q25" s="19" t="s">
        <v>50</v>
      </c>
      <c r="R25" s="19" t="s">
        <v>51</v>
      </c>
      <c r="S25" s="24"/>
      <c r="T25" s="25"/>
      <c r="U25" s="20" t="s">
        <v>175</v>
      </c>
    </row>
    <row r="26" customFormat="false" ht="45.75" hidden="false" customHeight="true" outlineLevel="0" collapsed="false">
      <c r="A26" s="17" t="s">
        <v>176</v>
      </c>
      <c r="B26" s="18" t="n">
        <v>45978</v>
      </c>
      <c r="C26" s="19" t="s">
        <v>177</v>
      </c>
      <c r="D26" s="19" t="s">
        <v>69</v>
      </c>
      <c r="E26" s="20" t="s">
        <v>178</v>
      </c>
      <c r="F26" s="19" t="s">
        <v>179</v>
      </c>
      <c r="G26" s="17" t="s">
        <v>16</v>
      </c>
      <c r="H26" s="17"/>
      <c r="I26" s="17" t="n">
        <v>5000140</v>
      </c>
      <c r="J26" s="19" t="s">
        <v>19</v>
      </c>
      <c r="K26" s="17" t="s">
        <v>64</v>
      </c>
      <c r="L26" s="21" t="n">
        <v>1500</v>
      </c>
      <c r="M26" s="21" t="n">
        <v>270</v>
      </c>
      <c r="N26" s="21" t="n">
        <v>1770</v>
      </c>
      <c r="O26" s="22" t="n">
        <v>0</v>
      </c>
      <c r="P26" s="23" t="n">
        <f aca="false">N26-O26</f>
        <v>1770</v>
      </c>
      <c r="Q26" s="19" t="s">
        <v>96</v>
      </c>
      <c r="R26" s="19" t="s">
        <v>38</v>
      </c>
      <c r="S26" s="24"/>
      <c r="T26" s="25"/>
      <c r="U26" s="20" t="s">
        <v>180</v>
      </c>
    </row>
    <row r="27" customFormat="false" ht="34.5" hidden="false" customHeight="true" outlineLevel="0" collapsed="false">
      <c r="A27" s="17" t="s">
        <v>181</v>
      </c>
      <c r="B27" s="18" t="n">
        <v>45978</v>
      </c>
      <c r="C27" s="19" t="s">
        <v>177</v>
      </c>
      <c r="D27" s="19" t="s">
        <v>69</v>
      </c>
      <c r="E27" s="20" t="s">
        <v>182</v>
      </c>
      <c r="F27" s="19" t="s">
        <v>183</v>
      </c>
      <c r="G27" s="17" t="s">
        <v>16</v>
      </c>
      <c r="H27" s="17"/>
      <c r="I27" s="17" t="n">
        <v>5000141</v>
      </c>
      <c r="J27" s="19" t="s">
        <v>19</v>
      </c>
      <c r="K27" s="17" t="s">
        <v>64</v>
      </c>
      <c r="L27" s="21" t="n">
        <v>450</v>
      </c>
      <c r="M27" s="21" t="n">
        <v>81</v>
      </c>
      <c r="N27" s="21" t="n">
        <v>531</v>
      </c>
      <c r="O27" s="22" t="n">
        <v>0</v>
      </c>
      <c r="P27" s="23" t="n">
        <f aca="false">N27-O27</f>
        <v>531</v>
      </c>
      <c r="Q27" s="19" t="s">
        <v>96</v>
      </c>
      <c r="R27" s="19" t="s">
        <v>38</v>
      </c>
      <c r="S27" s="24"/>
      <c r="T27" s="25"/>
      <c r="U27" s="20" t="s">
        <v>184</v>
      </c>
    </row>
    <row r="28" customFormat="false" ht="23.25" hidden="false" customHeight="true" outlineLevel="0" collapsed="false">
      <c r="A28" s="17" t="s">
        <v>185</v>
      </c>
      <c r="B28" s="18" t="n">
        <v>45979</v>
      </c>
      <c r="C28" s="19" t="s">
        <v>186</v>
      </c>
      <c r="D28" s="19" t="s">
        <v>187</v>
      </c>
      <c r="E28" s="20" t="s">
        <v>188</v>
      </c>
      <c r="F28" s="19" t="s">
        <v>189</v>
      </c>
      <c r="G28" s="17" t="s">
        <v>18</v>
      </c>
      <c r="H28" s="17"/>
      <c r="I28" s="17" t="n">
        <v>1000259</v>
      </c>
      <c r="J28" s="19" t="s">
        <v>15</v>
      </c>
      <c r="K28" s="17" t="s">
        <v>64</v>
      </c>
      <c r="L28" s="21" t="n">
        <v>847.5</v>
      </c>
      <c r="M28" s="21" t="n">
        <v>152.55</v>
      </c>
      <c r="N28" s="21" t="n">
        <v>1000.05</v>
      </c>
      <c r="O28" s="22" t="n">
        <v>0</v>
      </c>
      <c r="P28" s="23" t="n">
        <f aca="false">N28-O28</f>
        <v>1000.05</v>
      </c>
      <c r="Q28" s="19" t="s">
        <v>65</v>
      </c>
      <c r="R28" s="19" t="s">
        <v>38</v>
      </c>
      <c r="S28" s="24"/>
      <c r="T28" s="25"/>
      <c r="U28" s="20" t="s">
        <v>190</v>
      </c>
    </row>
    <row r="29" customFormat="false" ht="57" hidden="false" customHeight="true" outlineLevel="0" collapsed="false">
      <c r="A29" s="17" t="s">
        <v>191</v>
      </c>
      <c r="B29" s="18" t="n">
        <v>45989</v>
      </c>
      <c r="C29" s="19" t="s">
        <v>99</v>
      </c>
      <c r="D29" s="19" t="s">
        <v>61</v>
      </c>
      <c r="E29" s="20" t="s">
        <v>192</v>
      </c>
      <c r="F29" s="19" t="s">
        <v>193</v>
      </c>
      <c r="G29" s="17" t="s">
        <v>16</v>
      </c>
      <c r="H29" s="17" t="n">
        <v>263</v>
      </c>
      <c r="I29" s="17" t="n">
        <v>400198</v>
      </c>
      <c r="J29" s="19" t="s">
        <v>15</v>
      </c>
      <c r="K29" s="17" t="s">
        <v>64</v>
      </c>
      <c r="L29" s="21" t="n">
        <v>2700</v>
      </c>
      <c r="M29" s="21" t="n">
        <v>486</v>
      </c>
      <c r="N29" s="21" t="n">
        <v>3186</v>
      </c>
      <c r="O29" s="22" t="n">
        <v>0</v>
      </c>
      <c r="P29" s="23" t="n">
        <f aca="false">N29-O29</f>
        <v>3186</v>
      </c>
      <c r="Q29" s="19" t="s">
        <v>65</v>
      </c>
      <c r="R29" s="19" t="s">
        <v>38</v>
      </c>
      <c r="S29" s="24"/>
      <c r="T29" s="25"/>
      <c r="U29" s="20" t="s">
        <v>194</v>
      </c>
    </row>
    <row r="30" customFormat="false" ht="23.25" hidden="false" customHeight="true" outlineLevel="0" collapsed="false">
      <c r="A30" s="17" t="s">
        <v>195</v>
      </c>
      <c r="B30" s="18" t="n">
        <v>45992</v>
      </c>
      <c r="C30" s="19" t="s">
        <v>104</v>
      </c>
      <c r="D30" s="19" t="s">
        <v>196</v>
      </c>
      <c r="E30" s="20" t="s">
        <v>197</v>
      </c>
      <c r="F30" s="19" t="s">
        <v>89</v>
      </c>
      <c r="G30" s="17" t="s">
        <v>14</v>
      </c>
      <c r="H30" s="17" t="n">
        <v>267</v>
      </c>
      <c r="I30" s="17"/>
      <c r="J30" s="19" t="s">
        <v>17</v>
      </c>
      <c r="K30" s="17" t="s">
        <v>49</v>
      </c>
      <c r="L30" s="21" t="n">
        <v>3780</v>
      </c>
      <c r="M30" s="21" t="n">
        <v>680.4</v>
      </c>
      <c r="N30" s="21" t="n">
        <v>4460.4</v>
      </c>
      <c r="O30" s="22" t="n">
        <v>0</v>
      </c>
      <c r="P30" s="23" t="n">
        <f aca="false">N30-O30</f>
        <v>4460.4</v>
      </c>
      <c r="Q30" s="19" t="s">
        <v>50</v>
      </c>
      <c r="R30" s="19" t="s">
        <v>51</v>
      </c>
      <c r="S30" s="24"/>
      <c r="T30" s="25"/>
      <c r="U30" s="20" t="s">
        <v>198</v>
      </c>
    </row>
    <row r="31" customFormat="false" ht="34.5" hidden="false" customHeight="true" outlineLevel="0" collapsed="false">
      <c r="A31" s="17" t="s">
        <v>199</v>
      </c>
      <c r="B31" s="18" t="n">
        <v>46007</v>
      </c>
      <c r="C31" s="19" t="s">
        <v>200</v>
      </c>
      <c r="D31" s="19" t="s">
        <v>201</v>
      </c>
      <c r="E31" s="20" t="s">
        <v>202</v>
      </c>
      <c r="F31" s="19" t="s">
        <v>203</v>
      </c>
      <c r="G31" s="17" t="s">
        <v>16</v>
      </c>
      <c r="H31" s="17" t="n">
        <v>268</v>
      </c>
      <c r="I31" s="17" t="n">
        <v>400205</v>
      </c>
      <c r="J31" s="19" t="s">
        <v>15</v>
      </c>
      <c r="K31" s="17" t="s">
        <v>64</v>
      </c>
      <c r="L31" s="21" t="n">
        <v>415</v>
      </c>
      <c r="M31" s="21" t="n">
        <v>74.7</v>
      </c>
      <c r="N31" s="21" t="n">
        <v>489.7</v>
      </c>
      <c r="O31" s="22" t="n">
        <v>0</v>
      </c>
      <c r="P31" s="23" t="n">
        <f aca="false">N31-O31</f>
        <v>489.7</v>
      </c>
      <c r="Q31" s="19" t="s">
        <v>65</v>
      </c>
      <c r="R31" s="19" t="s">
        <v>38</v>
      </c>
      <c r="S31" s="24"/>
      <c r="T31" s="25"/>
      <c r="U31" s="20" t="s">
        <v>204</v>
      </c>
    </row>
    <row r="32" customFormat="false" ht="34.5" hidden="false" customHeight="true" outlineLevel="0" collapsed="false">
      <c r="A32" s="26" t="s">
        <v>205</v>
      </c>
      <c r="B32" s="27" t="n">
        <v>46067</v>
      </c>
      <c r="C32" s="28" t="s">
        <v>60</v>
      </c>
      <c r="D32" s="28" t="s">
        <v>206</v>
      </c>
      <c r="E32" s="29" t="s">
        <v>207</v>
      </c>
      <c r="F32" s="28" t="s">
        <v>208</v>
      </c>
      <c r="G32" s="26" t="s">
        <v>18</v>
      </c>
      <c r="H32" s="26" t="n">
        <v>272</v>
      </c>
      <c r="I32" s="26" t="n">
        <v>1000294</v>
      </c>
      <c r="J32" s="28" t="s">
        <v>17</v>
      </c>
      <c r="K32" s="26" t="s">
        <v>64</v>
      </c>
      <c r="L32" s="30" t="n">
        <v>8030.55</v>
      </c>
      <c r="M32" s="30" t="n">
        <v>1445.5</v>
      </c>
      <c r="N32" s="30" t="n">
        <v>9476.05</v>
      </c>
      <c r="O32" s="31" t="n">
        <v>4245.17</v>
      </c>
      <c r="P32" s="32" t="n">
        <f aca="false">N32-O32</f>
        <v>5230.88</v>
      </c>
      <c r="Q32" s="28" t="s">
        <v>96</v>
      </c>
      <c r="R32" s="28" t="s">
        <v>209</v>
      </c>
      <c r="S32" s="33"/>
      <c r="T32" s="34"/>
      <c r="U32" s="29" t="s">
        <v>210</v>
      </c>
    </row>
    <row r="33" customFormat="false" ht="34.5" hidden="false" customHeight="true" outlineLevel="0" collapsed="false">
      <c r="A33" s="17" t="s">
        <v>211</v>
      </c>
      <c r="B33" s="18" t="n">
        <v>45996</v>
      </c>
      <c r="C33" s="19" t="s">
        <v>212</v>
      </c>
      <c r="D33" s="19" t="s">
        <v>213</v>
      </c>
      <c r="E33" s="20" t="s">
        <v>214</v>
      </c>
      <c r="F33" s="19" t="s">
        <v>215</v>
      </c>
      <c r="G33" s="17" t="s">
        <v>14</v>
      </c>
      <c r="H33" s="17" t="n">
        <v>271</v>
      </c>
      <c r="I33" s="17"/>
      <c r="J33" s="19" t="s">
        <v>17</v>
      </c>
      <c r="K33" s="17" t="s">
        <v>49</v>
      </c>
      <c r="L33" s="21" t="n">
        <v>6935.8</v>
      </c>
      <c r="M33" s="21" t="n">
        <v>1248.44</v>
      </c>
      <c r="N33" s="21" t="n">
        <v>8184.24</v>
      </c>
      <c r="O33" s="22" t="n">
        <v>0</v>
      </c>
      <c r="P33" s="23" t="n">
        <f aca="false">N33-O33</f>
        <v>8184.24</v>
      </c>
      <c r="Q33" s="19" t="s">
        <v>50</v>
      </c>
      <c r="R33" s="19" t="s">
        <v>51</v>
      </c>
      <c r="S33" s="24"/>
      <c r="T33" s="25"/>
      <c r="U33" s="20" t="s">
        <v>216</v>
      </c>
    </row>
    <row r="34" customFormat="false" ht="34.5" hidden="false" customHeight="true" outlineLevel="0" collapsed="false">
      <c r="A34" s="26" t="s">
        <v>217</v>
      </c>
      <c r="B34" s="27" t="n">
        <v>46067</v>
      </c>
      <c r="C34" s="28" t="s">
        <v>60</v>
      </c>
      <c r="D34" s="28" t="s">
        <v>111</v>
      </c>
      <c r="E34" s="29" t="s">
        <v>218</v>
      </c>
      <c r="F34" s="28" t="s">
        <v>208</v>
      </c>
      <c r="G34" s="26" t="s">
        <v>18</v>
      </c>
      <c r="H34" s="26" t="n">
        <v>273</v>
      </c>
      <c r="I34" s="26" t="n">
        <v>1000295</v>
      </c>
      <c r="J34" s="28" t="s">
        <v>17</v>
      </c>
      <c r="K34" s="26" t="s">
        <v>64</v>
      </c>
      <c r="L34" s="30" t="n">
        <v>6231.5</v>
      </c>
      <c r="M34" s="30" t="n">
        <v>1121.67</v>
      </c>
      <c r="N34" s="30" t="n">
        <v>7353.17</v>
      </c>
      <c r="O34" s="31" t="n">
        <v>3364.7</v>
      </c>
      <c r="P34" s="32" t="n">
        <f aca="false">N34-O34</f>
        <v>3988.47</v>
      </c>
      <c r="Q34" s="28" t="s">
        <v>96</v>
      </c>
      <c r="R34" s="28" t="s">
        <v>209</v>
      </c>
      <c r="S34" s="33"/>
      <c r="T34" s="34"/>
      <c r="U34" s="29" t="s">
        <v>219</v>
      </c>
    </row>
    <row r="35" customFormat="false" ht="34.5" hidden="false" customHeight="true" outlineLevel="0" collapsed="false">
      <c r="A35" s="17" t="s">
        <v>220</v>
      </c>
      <c r="B35" s="18" t="n">
        <v>45999</v>
      </c>
      <c r="C35" s="19" t="s">
        <v>212</v>
      </c>
      <c r="D35" s="19" t="s">
        <v>221</v>
      </c>
      <c r="E35" s="20" t="s">
        <v>222</v>
      </c>
      <c r="F35" s="19" t="s">
        <v>223</v>
      </c>
      <c r="G35" s="17" t="s">
        <v>14</v>
      </c>
      <c r="H35" s="17" t="n">
        <v>274</v>
      </c>
      <c r="I35" s="17"/>
      <c r="J35" s="19" t="s">
        <v>17</v>
      </c>
      <c r="K35" s="17" t="s">
        <v>49</v>
      </c>
      <c r="L35" s="21" t="n">
        <v>1088</v>
      </c>
      <c r="M35" s="21" t="n">
        <v>195.84</v>
      </c>
      <c r="N35" s="21" t="n">
        <v>1283.84</v>
      </c>
      <c r="O35" s="22" t="n">
        <v>0</v>
      </c>
      <c r="P35" s="23" t="n">
        <f aca="false">N35-O35</f>
        <v>1283.84</v>
      </c>
      <c r="Q35" s="19" t="s">
        <v>50</v>
      </c>
      <c r="R35" s="19" t="s">
        <v>51</v>
      </c>
      <c r="S35" s="24"/>
      <c r="T35" s="25"/>
      <c r="U35" s="20" t="s">
        <v>224</v>
      </c>
    </row>
    <row r="36" customFormat="false" ht="15" hidden="false" customHeight="true" outlineLevel="0" collapsed="false">
      <c r="A36" s="17" t="s">
        <v>225</v>
      </c>
      <c r="B36" s="18" t="n">
        <v>45999</v>
      </c>
      <c r="C36" s="19" t="s">
        <v>226</v>
      </c>
      <c r="D36" s="19" t="s">
        <v>206</v>
      </c>
      <c r="E36" s="20" t="s">
        <v>227</v>
      </c>
      <c r="F36" s="19" t="s">
        <v>228</v>
      </c>
      <c r="G36" s="17" t="s">
        <v>18</v>
      </c>
      <c r="H36" s="17"/>
      <c r="I36" s="17" t="n">
        <v>1000265</v>
      </c>
      <c r="J36" s="19" t="s">
        <v>17</v>
      </c>
      <c r="K36" s="17" t="s">
        <v>64</v>
      </c>
      <c r="L36" s="21" t="n">
        <v>1003.33</v>
      </c>
      <c r="M36" s="21" t="n">
        <v>180.6</v>
      </c>
      <c r="N36" s="21" t="n">
        <v>1183.93</v>
      </c>
      <c r="O36" s="22" t="n">
        <v>0</v>
      </c>
      <c r="P36" s="23" t="n">
        <f aca="false">N36-O36</f>
        <v>1183.93</v>
      </c>
      <c r="Q36" s="19" t="s">
        <v>96</v>
      </c>
      <c r="R36" s="19" t="s">
        <v>38</v>
      </c>
      <c r="S36" s="24"/>
      <c r="T36" s="25"/>
      <c r="U36" s="20" t="s">
        <v>229</v>
      </c>
    </row>
    <row r="37" customFormat="false" ht="34.5" hidden="false" customHeight="true" outlineLevel="0" collapsed="false">
      <c r="A37" s="17" t="s">
        <v>230</v>
      </c>
      <c r="B37" s="18" t="n">
        <v>45999</v>
      </c>
      <c r="C37" s="19" t="s">
        <v>231</v>
      </c>
      <c r="D37" s="19" t="s">
        <v>206</v>
      </c>
      <c r="E37" s="20" t="s">
        <v>227</v>
      </c>
      <c r="F37" s="19" t="s">
        <v>228</v>
      </c>
      <c r="G37" s="17" t="s">
        <v>18</v>
      </c>
      <c r="H37" s="17"/>
      <c r="I37" s="17" t="n">
        <v>1000266</v>
      </c>
      <c r="J37" s="19" t="s">
        <v>17</v>
      </c>
      <c r="K37" s="17" t="s">
        <v>64</v>
      </c>
      <c r="L37" s="21" t="n">
        <v>2006.67</v>
      </c>
      <c r="M37" s="21" t="n">
        <v>361.2</v>
      </c>
      <c r="N37" s="21" t="n">
        <v>2367.87</v>
      </c>
      <c r="O37" s="22" t="n">
        <v>0</v>
      </c>
      <c r="P37" s="23" t="n">
        <f aca="false">N37-O37</f>
        <v>2367.87</v>
      </c>
      <c r="Q37" s="19" t="s">
        <v>96</v>
      </c>
      <c r="R37" s="19" t="s">
        <v>38</v>
      </c>
      <c r="S37" s="24"/>
      <c r="T37" s="25"/>
      <c r="U37" s="20" t="s">
        <v>232</v>
      </c>
    </row>
    <row r="38" customFormat="false" ht="34.5" hidden="false" customHeight="true" outlineLevel="0" collapsed="false">
      <c r="A38" s="17" t="s">
        <v>233</v>
      </c>
      <c r="B38" s="18" t="n">
        <v>46000</v>
      </c>
      <c r="C38" s="19" t="s">
        <v>110</v>
      </c>
      <c r="D38" s="19" t="s">
        <v>234</v>
      </c>
      <c r="E38" s="20" t="s">
        <v>235</v>
      </c>
      <c r="F38" s="19" t="s">
        <v>236</v>
      </c>
      <c r="G38" s="17" t="s">
        <v>16</v>
      </c>
      <c r="H38" s="17"/>
      <c r="I38" s="17" t="n">
        <v>400200</v>
      </c>
      <c r="J38" s="19" t="s">
        <v>17</v>
      </c>
      <c r="K38" s="17" t="s">
        <v>64</v>
      </c>
      <c r="L38" s="21" t="n">
        <v>941</v>
      </c>
      <c r="M38" s="21" t="n">
        <v>169.38</v>
      </c>
      <c r="N38" s="21" t="n">
        <v>1110.38</v>
      </c>
      <c r="O38" s="22" t="n">
        <v>0</v>
      </c>
      <c r="P38" s="23" t="n">
        <f aca="false">N38-O38</f>
        <v>1110.38</v>
      </c>
      <c r="Q38" s="19" t="s">
        <v>92</v>
      </c>
      <c r="R38" s="19" t="s">
        <v>38</v>
      </c>
      <c r="S38" s="24"/>
      <c r="T38" s="25"/>
      <c r="U38" s="20" t="s">
        <v>237</v>
      </c>
    </row>
    <row r="39" customFormat="false" ht="34.5" hidden="false" customHeight="true" outlineLevel="0" collapsed="false">
      <c r="A39" s="17" t="s">
        <v>238</v>
      </c>
      <c r="B39" s="18" t="n">
        <v>46000</v>
      </c>
      <c r="C39" s="19" t="s">
        <v>110</v>
      </c>
      <c r="D39" s="19" t="s">
        <v>239</v>
      </c>
      <c r="E39" s="20" t="s">
        <v>240</v>
      </c>
      <c r="F39" s="19" t="s">
        <v>236</v>
      </c>
      <c r="G39" s="17" t="s">
        <v>16</v>
      </c>
      <c r="H39" s="17"/>
      <c r="I39" s="17" t="n">
        <v>400201</v>
      </c>
      <c r="J39" s="19" t="s">
        <v>17</v>
      </c>
      <c r="K39" s="17" t="s">
        <v>64</v>
      </c>
      <c r="L39" s="21" t="n">
        <v>928</v>
      </c>
      <c r="M39" s="21" t="n">
        <v>167.04</v>
      </c>
      <c r="N39" s="21" t="n">
        <v>1095.04</v>
      </c>
      <c r="O39" s="22" t="n">
        <v>0</v>
      </c>
      <c r="P39" s="23" t="n">
        <f aca="false">N39-O39</f>
        <v>1095.04</v>
      </c>
      <c r="Q39" s="19" t="s">
        <v>92</v>
      </c>
      <c r="R39" s="19" t="s">
        <v>38</v>
      </c>
      <c r="S39" s="24"/>
      <c r="T39" s="25"/>
      <c r="U39" s="20" t="s">
        <v>241</v>
      </c>
    </row>
    <row r="40" customFormat="false" ht="23.25" hidden="false" customHeight="true" outlineLevel="0" collapsed="false">
      <c r="A40" s="17" t="s">
        <v>242</v>
      </c>
      <c r="B40" s="18" t="n">
        <v>45961</v>
      </c>
      <c r="C40" s="19" t="s">
        <v>110</v>
      </c>
      <c r="D40" s="19" t="s">
        <v>243</v>
      </c>
      <c r="E40" s="20" t="s">
        <v>244</v>
      </c>
      <c r="F40" s="19" t="s">
        <v>89</v>
      </c>
      <c r="G40" s="17" t="s">
        <v>16</v>
      </c>
      <c r="H40" s="17"/>
      <c r="I40" s="17" t="n">
        <v>400212</v>
      </c>
      <c r="J40" s="19" t="s">
        <v>15</v>
      </c>
      <c r="K40" s="17" t="s">
        <v>64</v>
      </c>
      <c r="L40" s="21" t="n">
        <v>845</v>
      </c>
      <c r="M40" s="21" t="n">
        <v>152.1</v>
      </c>
      <c r="N40" s="21" t="n">
        <v>997.1</v>
      </c>
      <c r="O40" s="22" t="n">
        <v>0</v>
      </c>
      <c r="P40" s="23" t="n">
        <f aca="false">N40-O40</f>
        <v>997.1</v>
      </c>
      <c r="Q40" s="19" t="s">
        <v>65</v>
      </c>
      <c r="R40" s="19" t="s">
        <v>38</v>
      </c>
      <c r="S40" s="24"/>
      <c r="T40" s="25"/>
      <c r="U40" s="20" t="s">
        <v>245</v>
      </c>
    </row>
    <row r="41" customFormat="false" ht="23.25" hidden="false" customHeight="true" outlineLevel="0" collapsed="false">
      <c r="A41" s="17" t="s">
        <v>246</v>
      </c>
      <c r="B41" s="18" t="n">
        <v>45995</v>
      </c>
      <c r="C41" s="19" t="s">
        <v>110</v>
      </c>
      <c r="D41" s="19" t="s">
        <v>247</v>
      </c>
      <c r="E41" s="20" t="s">
        <v>248</v>
      </c>
      <c r="F41" s="19" t="s">
        <v>249</v>
      </c>
      <c r="G41" s="17" t="s">
        <v>16</v>
      </c>
      <c r="H41" s="17"/>
      <c r="I41" s="17" t="n">
        <v>400210</v>
      </c>
      <c r="J41" s="19" t="s">
        <v>15</v>
      </c>
      <c r="K41" s="17" t="s">
        <v>64</v>
      </c>
      <c r="L41" s="21" t="n">
        <v>1162.35</v>
      </c>
      <c r="M41" s="21" t="n">
        <v>209.22</v>
      </c>
      <c r="N41" s="21" t="n">
        <v>1371.57</v>
      </c>
      <c r="O41" s="22" t="n">
        <v>0</v>
      </c>
      <c r="P41" s="23" t="n">
        <f aca="false">N41-O41</f>
        <v>1371.57</v>
      </c>
      <c r="Q41" s="19" t="s">
        <v>92</v>
      </c>
      <c r="R41" s="19" t="s">
        <v>38</v>
      </c>
      <c r="S41" s="24"/>
      <c r="T41" s="25"/>
      <c r="U41" s="20" t="s">
        <v>250</v>
      </c>
    </row>
    <row r="42" customFormat="false" ht="23.25" hidden="false" customHeight="true" outlineLevel="0" collapsed="false">
      <c r="A42" s="17" t="s">
        <v>251</v>
      </c>
      <c r="B42" s="18" t="n">
        <v>45995</v>
      </c>
      <c r="C42" s="19" t="s">
        <v>110</v>
      </c>
      <c r="D42" s="19" t="s">
        <v>61</v>
      </c>
      <c r="E42" s="20" t="s">
        <v>252</v>
      </c>
      <c r="F42" s="19" t="s">
        <v>249</v>
      </c>
      <c r="G42" s="17" t="s">
        <v>16</v>
      </c>
      <c r="H42" s="17"/>
      <c r="I42" s="17" t="n">
        <v>400211</v>
      </c>
      <c r="J42" s="19" t="s">
        <v>15</v>
      </c>
      <c r="K42" s="17" t="s">
        <v>64</v>
      </c>
      <c r="L42" s="21" t="n">
        <v>1975</v>
      </c>
      <c r="M42" s="21" t="n">
        <v>355.5</v>
      </c>
      <c r="N42" s="21" t="n">
        <v>2330.5</v>
      </c>
      <c r="O42" s="22" t="n">
        <v>0</v>
      </c>
      <c r="P42" s="23" t="n">
        <f aca="false">N42-O42</f>
        <v>2330.5</v>
      </c>
      <c r="Q42" s="19" t="s">
        <v>92</v>
      </c>
      <c r="R42" s="19" t="s">
        <v>38</v>
      </c>
      <c r="S42" s="24"/>
      <c r="T42" s="25"/>
      <c r="U42" s="20" t="s">
        <v>253</v>
      </c>
    </row>
    <row r="43" customFormat="false" ht="23.25" hidden="false" customHeight="true" outlineLevel="0" collapsed="false">
      <c r="A43" s="17" t="s">
        <v>254</v>
      </c>
      <c r="B43" s="18" t="n">
        <v>46000</v>
      </c>
      <c r="C43" s="19" t="s">
        <v>110</v>
      </c>
      <c r="D43" s="19" t="s">
        <v>255</v>
      </c>
      <c r="E43" s="20" t="s">
        <v>256</v>
      </c>
      <c r="F43" s="19" t="s">
        <v>89</v>
      </c>
      <c r="G43" s="17" t="s">
        <v>16</v>
      </c>
      <c r="H43" s="17"/>
      <c r="I43" s="17" t="n">
        <v>400202</v>
      </c>
      <c r="J43" s="19" t="s">
        <v>17</v>
      </c>
      <c r="K43" s="17" t="s">
        <v>64</v>
      </c>
      <c r="L43" s="21" t="n">
        <v>1510</v>
      </c>
      <c r="M43" s="21" t="n">
        <v>271.8</v>
      </c>
      <c r="N43" s="21" t="n">
        <v>1781.8</v>
      </c>
      <c r="O43" s="22" t="n">
        <v>0</v>
      </c>
      <c r="P43" s="23" t="n">
        <f aca="false">N43-O43</f>
        <v>1781.8</v>
      </c>
      <c r="Q43" s="19" t="s">
        <v>92</v>
      </c>
      <c r="R43" s="19" t="s">
        <v>38</v>
      </c>
      <c r="S43" s="24"/>
      <c r="T43" s="25"/>
      <c r="U43" s="20" t="s">
        <v>257</v>
      </c>
    </row>
    <row r="44" customFormat="false" ht="23.25" hidden="false" customHeight="true" outlineLevel="0" collapsed="false">
      <c r="A44" s="17" t="s">
        <v>258</v>
      </c>
      <c r="B44" s="18" t="n">
        <v>46000</v>
      </c>
      <c r="C44" s="19" t="s">
        <v>110</v>
      </c>
      <c r="D44" s="19" t="s">
        <v>259</v>
      </c>
      <c r="E44" s="20" t="s">
        <v>260</v>
      </c>
      <c r="F44" s="19" t="s">
        <v>228</v>
      </c>
      <c r="G44" s="17" t="s">
        <v>16</v>
      </c>
      <c r="H44" s="17"/>
      <c r="I44" s="17" t="n">
        <v>400203</v>
      </c>
      <c r="J44" s="19" t="s">
        <v>17</v>
      </c>
      <c r="K44" s="17" t="s">
        <v>64</v>
      </c>
      <c r="L44" s="21" t="n">
        <v>1475</v>
      </c>
      <c r="M44" s="21" t="n">
        <v>265.5</v>
      </c>
      <c r="N44" s="21" t="n">
        <v>1740.5</v>
      </c>
      <c r="O44" s="22" t="n">
        <v>0</v>
      </c>
      <c r="P44" s="23" t="n">
        <f aca="false">N44-O44</f>
        <v>1740.5</v>
      </c>
      <c r="Q44" s="19" t="s">
        <v>92</v>
      </c>
      <c r="R44" s="19" t="s">
        <v>38</v>
      </c>
      <c r="S44" s="24"/>
      <c r="T44" s="25"/>
      <c r="U44" s="20" t="s">
        <v>261</v>
      </c>
    </row>
    <row r="45" customFormat="false" ht="23.25" hidden="false" customHeight="true" outlineLevel="0" collapsed="false">
      <c r="A45" s="17" t="s">
        <v>262</v>
      </c>
      <c r="B45" s="18" t="n">
        <v>46000</v>
      </c>
      <c r="C45" s="19" t="s">
        <v>110</v>
      </c>
      <c r="D45" s="19" t="s">
        <v>263</v>
      </c>
      <c r="E45" s="20" t="s">
        <v>264</v>
      </c>
      <c r="F45" s="19" t="s">
        <v>236</v>
      </c>
      <c r="G45" s="17" t="s">
        <v>16</v>
      </c>
      <c r="H45" s="17"/>
      <c r="I45" s="17" t="n">
        <v>400204</v>
      </c>
      <c r="J45" s="19" t="s">
        <v>17</v>
      </c>
      <c r="K45" s="17" t="s">
        <v>64</v>
      </c>
      <c r="L45" s="21" t="n">
        <v>962</v>
      </c>
      <c r="M45" s="21" t="n">
        <v>173.16</v>
      </c>
      <c r="N45" s="21" t="n">
        <v>1135.16</v>
      </c>
      <c r="O45" s="22" t="n">
        <v>0</v>
      </c>
      <c r="P45" s="23" t="n">
        <f aca="false">N45-O45</f>
        <v>1135.16</v>
      </c>
      <c r="Q45" s="19" t="s">
        <v>92</v>
      </c>
      <c r="R45" s="19" t="s">
        <v>38</v>
      </c>
      <c r="S45" s="24"/>
      <c r="T45" s="25"/>
      <c r="U45" s="20" t="s">
        <v>265</v>
      </c>
    </row>
    <row r="46" customFormat="false" ht="34.5" hidden="false" customHeight="true" outlineLevel="0" collapsed="false">
      <c r="A46" s="17" t="s">
        <v>266</v>
      </c>
      <c r="B46" s="18" t="n">
        <v>46004</v>
      </c>
      <c r="C46" s="19" t="s">
        <v>212</v>
      </c>
      <c r="D46" s="19" t="s">
        <v>267</v>
      </c>
      <c r="E46" s="20" t="s">
        <v>268</v>
      </c>
      <c r="F46" s="19" t="s">
        <v>249</v>
      </c>
      <c r="G46" s="17" t="s">
        <v>18</v>
      </c>
      <c r="H46" s="17"/>
      <c r="I46" s="17" t="n">
        <v>1000268</v>
      </c>
      <c r="J46" s="19" t="s">
        <v>15</v>
      </c>
      <c r="K46" s="17" t="s">
        <v>64</v>
      </c>
      <c r="L46" s="21" t="n">
        <v>348.98</v>
      </c>
      <c r="M46" s="21" t="n">
        <v>62.82</v>
      </c>
      <c r="N46" s="21" t="n">
        <v>411.8</v>
      </c>
      <c r="O46" s="22" t="n">
        <v>0</v>
      </c>
      <c r="P46" s="23" t="n">
        <f aca="false">N46-O46</f>
        <v>411.8</v>
      </c>
      <c r="Q46" s="19" t="s">
        <v>65</v>
      </c>
      <c r="R46" s="19" t="s">
        <v>38</v>
      </c>
      <c r="S46" s="24"/>
      <c r="T46" s="25"/>
      <c r="U46" s="20" t="s">
        <v>269</v>
      </c>
    </row>
    <row r="47" customFormat="false" ht="34.5" hidden="false" customHeight="true" outlineLevel="0" collapsed="false">
      <c r="A47" s="17" t="s">
        <v>270</v>
      </c>
      <c r="B47" s="18" t="n">
        <v>46006</v>
      </c>
      <c r="C47" s="19" t="s">
        <v>130</v>
      </c>
      <c r="D47" s="19" t="s">
        <v>271</v>
      </c>
      <c r="E47" s="20" t="s">
        <v>272</v>
      </c>
      <c r="F47" s="19" t="s">
        <v>273</v>
      </c>
      <c r="G47" s="17" t="s">
        <v>18</v>
      </c>
      <c r="H47" s="17"/>
      <c r="I47" s="17" t="n">
        <v>1000269</v>
      </c>
      <c r="J47" s="19" t="s">
        <v>15</v>
      </c>
      <c r="K47" s="17" t="s">
        <v>64</v>
      </c>
      <c r="L47" s="21" t="n">
        <v>5371</v>
      </c>
      <c r="M47" s="21" t="n">
        <v>966.78</v>
      </c>
      <c r="N47" s="21" t="n">
        <v>6337.78</v>
      </c>
      <c r="O47" s="22" t="n">
        <v>0</v>
      </c>
      <c r="P47" s="23" t="n">
        <f aca="false">N47-O47</f>
        <v>6337.78</v>
      </c>
      <c r="Q47" s="19" t="s">
        <v>92</v>
      </c>
      <c r="R47" s="19" t="s">
        <v>38</v>
      </c>
      <c r="S47" s="24"/>
      <c r="T47" s="25"/>
      <c r="U47" s="20" t="s">
        <v>274</v>
      </c>
    </row>
    <row r="48" customFormat="false" ht="34.5" hidden="false" customHeight="true" outlineLevel="0" collapsed="false">
      <c r="A48" s="17" t="s">
        <v>275</v>
      </c>
      <c r="B48" s="18" t="n">
        <v>46006</v>
      </c>
      <c r="C48" s="19" t="s">
        <v>212</v>
      </c>
      <c r="D48" s="19" t="s">
        <v>213</v>
      </c>
      <c r="E48" s="20" t="s">
        <v>276</v>
      </c>
      <c r="F48" s="19" t="s">
        <v>277</v>
      </c>
      <c r="G48" s="17" t="s">
        <v>14</v>
      </c>
      <c r="H48" s="17" t="n">
        <v>277</v>
      </c>
      <c r="I48" s="17"/>
      <c r="J48" s="19" t="s">
        <v>15</v>
      </c>
      <c r="K48" s="17" t="s">
        <v>49</v>
      </c>
      <c r="L48" s="21" t="n">
        <v>11742.6</v>
      </c>
      <c r="M48" s="21" t="n">
        <v>2113.68</v>
      </c>
      <c r="N48" s="21" t="n">
        <v>13856.28</v>
      </c>
      <c r="O48" s="22" t="n">
        <v>0</v>
      </c>
      <c r="P48" s="23" t="n">
        <f aca="false">N48-O48</f>
        <v>13856.28</v>
      </c>
      <c r="Q48" s="19" t="s">
        <v>50</v>
      </c>
      <c r="R48" s="19" t="s">
        <v>51</v>
      </c>
      <c r="S48" s="24"/>
      <c r="T48" s="25"/>
      <c r="U48" s="20" t="s">
        <v>278</v>
      </c>
    </row>
    <row r="49" customFormat="false" ht="23.25" hidden="false" customHeight="true" outlineLevel="0" collapsed="false">
      <c r="A49" s="17" t="s">
        <v>279</v>
      </c>
      <c r="B49" s="18" t="n">
        <v>46006</v>
      </c>
      <c r="C49" s="19" t="s">
        <v>104</v>
      </c>
      <c r="D49" s="19" t="s">
        <v>280</v>
      </c>
      <c r="E49" s="20" t="s">
        <v>281</v>
      </c>
      <c r="F49" s="19" t="s">
        <v>165</v>
      </c>
      <c r="G49" s="17" t="s">
        <v>18</v>
      </c>
      <c r="H49" s="17"/>
      <c r="I49" s="17" t="n">
        <v>1000270</v>
      </c>
      <c r="J49" s="19" t="s">
        <v>15</v>
      </c>
      <c r="K49" s="17" t="s">
        <v>64</v>
      </c>
      <c r="L49" s="21" t="n">
        <v>812.5</v>
      </c>
      <c r="M49" s="21" t="n">
        <v>146.25</v>
      </c>
      <c r="N49" s="21" t="n">
        <v>958.75</v>
      </c>
      <c r="O49" s="22" t="n">
        <v>0</v>
      </c>
      <c r="P49" s="23" t="n">
        <f aca="false">N49-O49</f>
        <v>958.75</v>
      </c>
      <c r="Q49" s="19" t="s">
        <v>65</v>
      </c>
      <c r="R49" s="19" t="s">
        <v>38</v>
      </c>
      <c r="S49" s="24"/>
      <c r="T49" s="25"/>
      <c r="U49" s="20" t="s">
        <v>282</v>
      </c>
    </row>
    <row r="50" customFormat="false" ht="23.25" hidden="false" customHeight="true" outlineLevel="0" collapsed="false">
      <c r="A50" s="17" t="s">
        <v>283</v>
      </c>
      <c r="B50" s="18" t="n">
        <v>46011</v>
      </c>
      <c r="C50" s="19" t="s">
        <v>110</v>
      </c>
      <c r="D50" s="19" t="s">
        <v>284</v>
      </c>
      <c r="E50" s="20" t="s">
        <v>285</v>
      </c>
      <c r="F50" s="19" t="s">
        <v>249</v>
      </c>
      <c r="G50" s="17" t="s">
        <v>16</v>
      </c>
      <c r="H50" s="17"/>
      <c r="I50" s="17" t="n">
        <v>400208</v>
      </c>
      <c r="J50" s="19" t="s">
        <v>15</v>
      </c>
      <c r="K50" s="17" t="s">
        <v>64</v>
      </c>
      <c r="L50" s="21" t="n">
        <v>1874.69</v>
      </c>
      <c r="M50" s="21" t="n">
        <v>337.44</v>
      </c>
      <c r="N50" s="21" t="n">
        <v>2212.13</v>
      </c>
      <c r="O50" s="22" t="n">
        <v>0</v>
      </c>
      <c r="P50" s="23" t="n">
        <f aca="false">N50-O50</f>
        <v>2212.13</v>
      </c>
      <c r="Q50" s="19" t="s">
        <v>92</v>
      </c>
      <c r="R50" s="19" t="s">
        <v>38</v>
      </c>
      <c r="S50" s="24"/>
      <c r="T50" s="25"/>
      <c r="U50" s="20" t="s">
        <v>286</v>
      </c>
    </row>
    <row r="51" customFormat="false" ht="23.25" hidden="false" customHeight="true" outlineLevel="0" collapsed="false">
      <c r="A51" s="17" t="s">
        <v>287</v>
      </c>
      <c r="B51" s="18" t="n">
        <v>46011</v>
      </c>
      <c r="C51" s="19" t="s">
        <v>110</v>
      </c>
      <c r="D51" s="19" t="s">
        <v>61</v>
      </c>
      <c r="E51" s="20" t="s">
        <v>288</v>
      </c>
      <c r="F51" s="19" t="s">
        <v>249</v>
      </c>
      <c r="G51" s="17" t="s">
        <v>16</v>
      </c>
      <c r="H51" s="17"/>
      <c r="I51" s="17" t="n">
        <v>400209</v>
      </c>
      <c r="J51" s="19" t="s">
        <v>15</v>
      </c>
      <c r="K51" s="17" t="s">
        <v>64</v>
      </c>
      <c r="L51" s="21" t="n">
        <v>644.46</v>
      </c>
      <c r="M51" s="21" t="n">
        <v>116</v>
      </c>
      <c r="N51" s="21" t="n">
        <v>760.46</v>
      </c>
      <c r="O51" s="22" t="n">
        <v>0</v>
      </c>
      <c r="P51" s="23" t="n">
        <f aca="false">N51-O51</f>
        <v>760.46</v>
      </c>
      <c r="Q51" s="19" t="s">
        <v>92</v>
      </c>
      <c r="R51" s="19" t="s">
        <v>38</v>
      </c>
      <c r="S51" s="24"/>
      <c r="T51" s="25"/>
      <c r="U51" s="20" t="s">
        <v>289</v>
      </c>
    </row>
    <row r="52" customFormat="false" ht="23.25" hidden="false" customHeight="true" outlineLevel="0" collapsed="false">
      <c r="A52" s="17" t="s">
        <v>290</v>
      </c>
      <c r="B52" s="18" t="n">
        <v>46027</v>
      </c>
      <c r="C52" s="19" t="s">
        <v>212</v>
      </c>
      <c r="D52" s="19" t="s">
        <v>213</v>
      </c>
      <c r="E52" s="20" t="s">
        <v>291</v>
      </c>
      <c r="F52" s="19" t="s">
        <v>292</v>
      </c>
      <c r="G52" s="17" t="s">
        <v>18</v>
      </c>
      <c r="H52" s="17"/>
      <c r="I52" s="17" t="n">
        <v>1000273</v>
      </c>
      <c r="J52" s="19" t="s">
        <v>15</v>
      </c>
      <c r="K52" s="17" t="s">
        <v>64</v>
      </c>
      <c r="L52" s="21" t="n">
        <v>350</v>
      </c>
      <c r="M52" s="21" t="n">
        <v>63</v>
      </c>
      <c r="N52" s="21" t="n">
        <v>413</v>
      </c>
      <c r="O52" s="22" t="n">
        <v>0</v>
      </c>
      <c r="P52" s="23" t="n">
        <f aca="false">N52-O52</f>
        <v>413</v>
      </c>
      <c r="Q52" s="19" t="s">
        <v>65</v>
      </c>
      <c r="R52" s="19" t="s">
        <v>38</v>
      </c>
      <c r="S52" s="24"/>
      <c r="T52" s="25"/>
      <c r="U52" s="20" t="s">
        <v>293</v>
      </c>
    </row>
    <row r="53" customFormat="false" ht="23.25" hidden="false" customHeight="true" outlineLevel="0" collapsed="false">
      <c r="A53" s="17" t="s">
        <v>294</v>
      </c>
      <c r="B53" s="18" t="n">
        <v>46029</v>
      </c>
      <c r="C53" s="19" t="s">
        <v>212</v>
      </c>
      <c r="D53" s="19" t="s">
        <v>295</v>
      </c>
      <c r="E53" s="20" t="s">
        <v>296</v>
      </c>
      <c r="F53" s="19" t="s">
        <v>159</v>
      </c>
      <c r="G53" s="17" t="s">
        <v>18</v>
      </c>
      <c r="H53" s="17"/>
      <c r="I53" s="17" t="n">
        <v>1000274</v>
      </c>
      <c r="J53" s="19" t="s">
        <v>15</v>
      </c>
      <c r="K53" s="17" t="s">
        <v>64</v>
      </c>
      <c r="L53" s="21" t="n">
        <v>1855</v>
      </c>
      <c r="M53" s="21" t="n">
        <v>333.9</v>
      </c>
      <c r="N53" s="21" t="n">
        <v>2188.9</v>
      </c>
      <c r="O53" s="22" t="n">
        <v>0</v>
      </c>
      <c r="P53" s="23" t="n">
        <f aca="false">N53-O53</f>
        <v>2188.9</v>
      </c>
      <c r="Q53" s="19" t="s">
        <v>65</v>
      </c>
      <c r="R53" s="19" t="s">
        <v>38</v>
      </c>
      <c r="S53" s="24"/>
      <c r="T53" s="25"/>
      <c r="U53" s="20" t="s">
        <v>293</v>
      </c>
    </row>
    <row r="54" customFormat="false" ht="15" hidden="false" customHeight="true" outlineLevel="0" collapsed="false">
      <c r="A54" s="17" t="s">
        <v>297</v>
      </c>
      <c r="B54" s="18" t="n">
        <v>46031</v>
      </c>
      <c r="C54" s="19" t="s">
        <v>298</v>
      </c>
      <c r="D54" s="19" t="s">
        <v>69</v>
      </c>
      <c r="E54" s="20" t="s">
        <v>299</v>
      </c>
      <c r="F54" s="19" t="s">
        <v>159</v>
      </c>
      <c r="G54" s="17" t="s">
        <v>16</v>
      </c>
      <c r="H54" s="17"/>
      <c r="I54" s="17" t="n">
        <v>400206</v>
      </c>
      <c r="J54" s="19" t="s">
        <v>15</v>
      </c>
      <c r="K54" s="17" t="s">
        <v>64</v>
      </c>
      <c r="L54" s="21" t="n">
        <v>1186.44</v>
      </c>
      <c r="M54" s="21" t="n">
        <v>213.56</v>
      </c>
      <c r="N54" s="21" t="n">
        <v>1400</v>
      </c>
      <c r="O54" s="22" t="n">
        <v>0</v>
      </c>
      <c r="P54" s="23" t="n">
        <f aca="false">N54-O54</f>
        <v>1400</v>
      </c>
      <c r="Q54" s="19" t="s">
        <v>65</v>
      </c>
      <c r="R54" s="19" t="s">
        <v>38</v>
      </c>
      <c r="S54" s="24"/>
      <c r="T54" s="25"/>
      <c r="U54" s="20" t="s">
        <v>300</v>
      </c>
    </row>
    <row r="55" customFormat="false" ht="34.5" hidden="false" customHeight="true" outlineLevel="0" collapsed="false">
      <c r="A55" s="17" t="s">
        <v>301</v>
      </c>
      <c r="B55" s="18" t="n">
        <v>46038</v>
      </c>
      <c r="C55" s="19" t="s">
        <v>212</v>
      </c>
      <c r="D55" s="19" t="s">
        <v>302</v>
      </c>
      <c r="E55" s="20" t="s">
        <v>303</v>
      </c>
      <c r="F55" s="19" t="s">
        <v>304</v>
      </c>
      <c r="G55" s="17" t="s">
        <v>18</v>
      </c>
      <c r="H55" s="17"/>
      <c r="I55" s="17" t="n">
        <v>1000276</v>
      </c>
      <c r="J55" s="19" t="s">
        <v>17</v>
      </c>
      <c r="K55" s="17" t="s">
        <v>64</v>
      </c>
      <c r="L55" s="21" t="n">
        <v>10600</v>
      </c>
      <c r="M55" s="21" t="n">
        <v>1908</v>
      </c>
      <c r="N55" s="21" t="n">
        <v>12508</v>
      </c>
      <c r="O55" s="22" t="n">
        <v>0</v>
      </c>
      <c r="P55" s="23" t="n">
        <f aca="false">N55-O55</f>
        <v>12508</v>
      </c>
      <c r="Q55" s="19" t="s">
        <v>96</v>
      </c>
      <c r="R55" s="19" t="s">
        <v>38</v>
      </c>
      <c r="S55" s="24"/>
      <c r="T55" s="25"/>
      <c r="U55" s="20" t="s">
        <v>305</v>
      </c>
    </row>
    <row r="56" customFormat="false" ht="23.25" hidden="false" customHeight="true" outlineLevel="0" collapsed="false">
      <c r="A56" s="17" t="s">
        <v>306</v>
      </c>
      <c r="B56" s="18" t="n">
        <v>46041</v>
      </c>
      <c r="C56" s="19" t="s">
        <v>212</v>
      </c>
      <c r="D56" s="19" t="s">
        <v>213</v>
      </c>
      <c r="E56" s="20" t="s">
        <v>307</v>
      </c>
      <c r="F56" s="19" t="s">
        <v>89</v>
      </c>
      <c r="G56" s="17" t="s">
        <v>18</v>
      </c>
      <c r="H56" s="17"/>
      <c r="I56" s="17" t="n">
        <v>1000279</v>
      </c>
      <c r="J56" s="19" t="s">
        <v>17</v>
      </c>
      <c r="K56" s="17" t="s">
        <v>64</v>
      </c>
      <c r="L56" s="21" t="n">
        <v>701</v>
      </c>
      <c r="M56" s="21" t="n">
        <v>126.18</v>
      </c>
      <c r="N56" s="21" t="n">
        <v>827.18</v>
      </c>
      <c r="O56" s="22" t="n">
        <v>0</v>
      </c>
      <c r="P56" s="23" t="n">
        <f aca="false">N56-O56</f>
        <v>827.18</v>
      </c>
      <c r="Q56" s="19" t="s">
        <v>96</v>
      </c>
      <c r="R56" s="19" t="s">
        <v>38</v>
      </c>
      <c r="S56" s="24"/>
      <c r="T56" s="25"/>
      <c r="U56" s="20" t="s">
        <v>293</v>
      </c>
    </row>
    <row r="57" customFormat="false" ht="23.25" hidden="false" customHeight="true" outlineLevel="0" collapsed="false">
      <c r="A57" s="17" t="s">
        <v>308</v>
      </c>
      <c r="B57" s="18" t="n">
        <v>46042</v>
      </c>
      <c r="C57" s="19" t="s">
        <v>86</v>
      </c>
      <c r="D57" s="19" t="s">
        <v>87</v>
      </c>
      <c r="E57" s="20" t="s">
        <v>309</v>
      </c>
      <c r="F57" s="19" t="s">
        <v>89</v>
      </c>
      <c r="G57" s="17" t="s">
        <v>14</v>
      </c>
      <c r="H57" s="17" t="n">
        <v>279</v>
      </c>
      <c r="I57" s="17"/>
      <c r="J57" s="19" t="s">
        <v>17</v>
      </c>
      <c r="K57" s="17" t="s">
        <v>49</v>
      </c>
      <c r="L57" s="21" t="n">
        <v>28277.6</v>
      </c>
      <c r="M57" s="21" t="n">
        <v>5089.97</v>
      </c>
      <c r="N57" s="21" t="n">
        <v>33367.57</v>
      </c>
      <c r="O57" s="22" t="n">
        <v>0</v>
      </c>
      <c r="P57" s="23" t="n">
        <f aca="false">N57-O57</f>
        <v>33367.57</v>
      </c>
      <c r="Q57" s="19" t="s">
        <v>50</v>
      </c>
      <c r="R57" s="19" t="s">
        <v>51</v>
      </c>
      <c r="S57" s="24"/>
      <c r="T57" s="25"/>
      <c r="U57" s="20" t="s">
        <v>310</v>
      </c>
    </row>
    <row r="58" customFormat="false" ht="34.5" hidden="false" customHeight="true" outlineLevel="0" collapsed="false">
      <c r="A58" s="17" t="s">
        <v>311</v>
      </c>
      <c r="B58" s="18" t="n">
        <v>46042</v>
      </c>
      <c r="C58" s="19" t="s">
        <v>312</v>
      </c>
      <c r="D58" s="19" t="s">
        <v>313</v>
      </c>
      <c r="E58" s="20" t="s">
        <v>314</v>
      </c>
      <c r="F58" s="19" t="s">
        <v>315</v>
      </c>
      <c r="G58" s="17" t="s">
        <v>18</v>
      </c>
      <c r="H58" s="17"/>
      <c r="I58" s="17" t="n">
        <v>1000280</v>
      </c>
      <c r="J58" s="19" t="s">
        <v>17</v>
      </c>
      <c r="K58" s="17" t="s">
        <v>64</v>
      </c>
      <c r="L58" s="21" t="n">
        <v>2458</v>
      </c>
      <c r="M58" s="21" t="n">
        <v>442.44</v>
      </c>
      <c r="N58" s="21" t="n">
        <v>2900.44</v>
      </c>
      <c r="O58" s="22" t="n">
        <v>0</v>
      </c>
      <c r="P58" s="23" t="n">
        <f aca="false">N58-O58</f>
        <v>2900.44</v>
      </c>
      <c r="Q58" s="19" t="s">
        <v>96</v>
      </c>
      <c r="R58" s="19" t="s">
        <v>38</v>
      </c>
      <c r="S58" s="24"/>
      <c r="T58" s="25"/>
      <c r="U58" s="20" t="s">
        <v>316</v>
      </c>
    </row>
    <row r="59" customFormat="false" ht="23.25" hidden="false" customHeight="true" outlineLevel="0" collapsed="false">
      <c r="A59" s="17" t="s">
        <v>317</v>
      </c>
      <c r="B59" s="18" t="n">
        <v>46044</v>
      </c>
      <c r="C59" s="19" t="s">
        <v>130</v>
      </c>
      <c r="D59" s="19" t="s">
        <v>69</v>
      </c>
      <c r="E59" s="20" t="s">
        <v>318</v>
      </c>
      <c r="F59" s="19" t="s">
        <v>319</v>
      </c>
      <c r="G59" s="17" t="s">
        <v>18</v>
      </c>
      <c r="H59" s="17"/>
      <c r="I59" s="17" t="n">
        <v>1000282</v>
      </c>
      <c r="J59" s="19" t="s">
        <v>15</v>
      </c>
      <c r="K59" s="17" t="s">
        <v>64</v>
      </c>
      <c r="L59" s="21" t="n">
        <v>2515</v>
      </c>
      <c r="M59" s="21" t="n">
        <v>452.7</v>
      </c>
      <c r="N59" s="21" t="n">
        <v>2967.7</v>
      </c>
      <c r="O59" s="22" t="n">
        <v>0</v>
      </c>
      <c r="P59" s="23" t="n">
        <f aca="false">N59-O59</f>
        <v>2967.7</v>
      </c>
      <c r="Q59" s="19" t="s">
        <v>65</v>
      </c>
      <c r="R59" s="19" t="s">
        <v>38</v>
      </c>
      <c r="S59" s="24"/>
      <c r="T59" s="25"/>
      <c r="U59" s="20" t="s">
        <v>320</v>
      </c>
    </row>
    <row r="60" customFormat="false" ht="57" hidden="false" customHeight="true" outlineLevel="0" collapsed="false">
      <c r="A60" s="26" t="s">
        <v>321</v>
      </c>
      <c r="B60" s="27" t="n">
        <v>46045</v>
      </c>
      <c r="C60" s="28" t="s">
        <v>110</v>
      </c>
      <c r="D60" s="28" t="s">
        <v>322</v>
      </c>
      <c r="E60" s="29" t="s">
        <v>323</v>
      </c>
      <c r="F60" s="28" t="s">
        <v>89</v>
      </c>
      <c r="G60" s="26" t="s">
        <v>14</v>
      </c>
      <c r="H60" s="26" t="n">
        <v>282</v>
      </c>
      <c r="I60" s="26"/>
      <c r="J60" s="28" t="s">
        <v>15</v>
      </c>
      <c r="K60" s="26" t="s">
        <v>49</v>
      </c>
      <c r="L60" s="30" t="n">
        <v>10292</v>
      </c>
      <c r="M60" s="30" t="n">
        <v>1852.56</v>
      </c>
      <c r="N60" s="30" t="n">
        <v>12144.56</v>
      </c>
      <c r="O60" s="31" t="n">
        <v>0</v>
      </c>
      <c r="P60" s="32" t="n">
        <f aca="false">N60-O60</f>
        <v>12144.56</v>
      </c>
      <c r="Q60" s="28" t="s">
        <v>50</v>
      </c>
      <c r="R60" s="28" t="s">
        <v>51</v>
      </c>
      <c r="S60" s="33"/>
      <c r="T60" s="34"/>
      <c r="U60" s="29" t="s">
        <v>324</v>
      </c>
    </row>
    <row r="61" customFormat="false" ht="45.75" hidden="false" customHeight="true" outlineLevel="0" collapsed="false">
      <c r="A61" s="17" t="s">
        <v>325</v>
      </c>
      <c r="B61" s="18" t="n">
        <v>46049</v>
      </c>
      <c r="C61" s="19" t="s">
        <v>110</v>
      </c>
      <c r="D61" s="19" t="s">
        <v>322</v>
      </c>
      <c r="E61" s="20" t="s">
        <v>326</v>
      </c>
      <c r="F61" s="19" t="s">
        <v>327</v>
      </c>
      <c r="G61" s="17" t="s">
        <v>14</v>
      </c>
      <c r="H61" s="17" t="n">
        <v>284</v>
      </c>
      <c r="I61" s="17"/>
      <c r="J61" s="19" t="s">
        <v>15</v>
      </c>
      <c r="K61" s="17" t="s">
        <v>49</v>
      </c>
      <c r="L61" s="21" t="n">
        <v>19561</v>
      </c>
      <c r="M61" s="21" t="n">
        <v>3520.98</v>
      </c>
      <c r="N61" s="21" t="n">
        <v>23081.98</v>
      </c>
      <c r="O61" s="22" t="n">
        <v>0</v>
      </c>
      <c r="P61" s="23" t="n">
        <f aca="false">N61-O61</f>
        <v>23081.98</v>
      </c>
      <c r="Q61" s="19" t="s">
        <v>50</v>
      </c>
      <c r="R61" s="19" t="s">
        <v>51</v>
      </c>
      <c r="S61" s="24"/>
      <c r="T61" s="25"/>
      <c r="U61" s="20" t="s">
        <v>328</v>
      </c>
    </row>
    <row r="62" customFormat="false" ht="34.5" hidden="false" customHeight="true" outlineLevel="0" collapsed="false">
      <c r="A62" s="26" t="s">
        <v>329</v>
      </c>
      <c r="B62" s="27" t="n">
        <v>46049</v>
      </c>
      <c r="C62" s="28" t="s">
        <v>110</v>
      </c>
      <c r="D62" s="28" t="s">
        <v>322</v>
      </c>
      <c r="E62" s="29" t="s">
        <v>330</v>
      </c>
      <c r="F62" s="28" t="s">
        <v>89</v>
      </c>
      <c r="G62" s="26" t="s">
        <v>14</v>
      </c>
      <c r="H62" s="26" t="n">
        <v>285</v>
      </c>
      <c r="I62" s="26"/>
      <c r="J62" s="28" t="s">
        <v>19</v>
      </c>
      <c r="K62" s="26" t="s">
        <v>49</v>
      </c>
      <c r="L62" s="30" t="n">
        <v>4965.6</v>
      </c>
      <c r="M62" s="30" t="n">
        <v>893.81</v>
      </c>
      <c r="N62" s="30" t="n">
        <v>5859.41</v>
      </c>
      <c r="O62" s="31" t="n">
        <v>0</v>
      </c>
      <c r="P62" s="32" t="n">
        <f aca="false">N62-O62</f>
        <v>5859.41</v>
      </c>
      <c r="Q62" s="28" t="s">
        <v>50</v>
      </c>
      <c r="R62" s="28" t="s">
        <v>51</v>
      </c>
      <c r="S62" s="33"/>
      <c r="T62" s="34"/>
      <c r="U62" s="29" t="s">
        <v>331</v>
      </c>
    </row>
    <row r="63" customFormat="false" ht="45.75" hidden="false" customHeight="true" outlineLevel="0" collapsed="false">
      <c r="A63" s="17" t="s">
        <v>332</v>
      </c>
      <c r="B63" s="18" t="n">
        <v>46053</v>
      </c>
      <c r="C63" s="19" t="s">
        <v>333</v>
      </c>
      <c r="D63" s="19" t="s">
        <v>334</v>
      </c>
      <c r="E63" s="20" t="s">
        <v>335</v>
      </c>
      <c r="F63" s="19" t="s">
        <v>165</v>
      </c>
      <c r="G63" s="17" t="s">
        <v>14</v>
      </c>
      <c r="H63" s="17" t="n">
        <v>286</v>
      </c>
      <c r="I63" s="17"/>
      <c r="J63" s="19" t="s">
        <v>15</v>
      </c>
      <c r="K63" s="17" t="s">
        <v>49</v>
      </c>
      <c r="L63" s="21" t="n">
        <v>4284</v>
      </c>
      <c r="M63" s="21" t="n">
        <v>771.12</v>
      </c>
      <c r="N63" s="21" t="n">
        <v>5055.12</v>
      </c>
      <c r="O63" s="22" t="n">
        <v>0</v>
      </c>
      <c r="P63" s="23" t="n">
        <f aca="false">N63-O63</f>
        <v>5055.12</v>
      </c>
      <c r="Q63" s="19" t="s">
        <v>50</v>
      </c>
      <c r="R63" s="19" t="s">
        <v>51</v>
      </c>
      <c r="S63" s="24"/>
      <c r="T63" s="25"/>
      <c r="U63" s="20" t="s">
        <v>336</v>
      </c>
    </row>
    <row r="64" customFormat="false" ht="34.5" hidden="false" customHeight="true" outlineLevel="0" collapsed="false">
      <c r="A64" s="17" t="s">
        <v>337</v>
      </c>
      <c r="B64" s="18" t="n">
        <v>46053</v>
      </c>
      <c r="C64" s="19" t="s">
        <v>333</v>
      </c>
      <c r="D64" s="19" t="s">
        <v>334</v>
      </c>
      <c r="E64" s="20" t="s">
        <v>338</v>
      </c>
      <c r="F64" s="19" t="s">
        <v>132</v>
      </c>
      <c r="G64" s="17" t="s">
        <v>14</v>
      </c>
      <c r="H64" s="17" t="n">
        <v>287</v>
      </c>
      <c r="I64" s="17"/>
      <c r="J64" s="19" t="s">
        <v>15</v>
      </c>
      <c r="K64" s="17" t="s">
        <v>49</v>
      </c>
      <c r="L64" s="21" t="n">
        <v>4998</v>
      </c>
      <c r="M64" s="21" t="n">
        <v>899.64</v>
      </c>
      <c r="N64" s="21" t="n">
        <v>5897.64</v>
      </c>
      <c r="O64" s="22" t="n">
        <v>0</v>
      </c>
      <c r="P64" s="23" t="n">
        <f aca="false">N64-O64</f>
        <v>5897.64</v>
      </c>
      <c r="Q64" s="19" t="s">
        <v>50</v>
      </c>
      <c r="R64" s="19" t="s">
        <v>51</v>
      </c>
      <c r="S64" s="24"/>
      <c r="T64" s="25"/>
      <c r="U64" s="20" t="s">
        <v>339</v>
      </c>
    </row>
    <row r="65" customFormat="false" ht="45.75" hidden="false" customHeight="true" outlineLevel="0" collapsed="false">
      <c r="A65" s="17" t="s">
        <v>340</v>
      </c>
      <c r="B65" s="18" t="n">
        <v>46053</v>
      </c>
      <c r="C65" s="19" t="s">
        <v>333</v>
      </c>
      <c r="D65" s="19" t="s">
        <v>334</v>
      </c>
      <c r="E65" s="20" t="s">
        <v>341</v>
      </c>
      <c r="F65" s="19" t="s">
        <v>159</v>
      </c>
      <c r="G65" s="17" t="s">
        <v>14</v>
      </c>
      <c r="H65" s="17" t="n">
        <v>288</v>
      </c>
      <c r="I65" s="17"/>
      <c r="J65" s="19" t="s">
        <v>19</v>
      </c>
      <c r="K65" s="17" t="s">
        <v>49</v>
      </c>
      <c r="L65" s="21" t="n">
        <v>3360</v>
      </c>
      <c r="M65" s="21" t="n">
        <v>604.8</v>
      </c>
      <c r="N65" s="21" t="n">
        <v>3964.8</v>
      </c>
      <c r="O65" s="22" t="n">
        <v>0</v>
      </c>
      <c r="P65" s="23" t="n">
        <f aca="false">N65-O65</f>
        <v>3964.8</v>
      </c>
      <c r="Q65" s="19" t="s">
        <v>50</v>
      </c>
      <c r="R65" s="19" t="s">
        <v>51</v>
      </c>
      <c r="S65" s="24"/>
      <c r="T65" s="25"/>
      <c r="U65" s="20" t="s">
        <v>342</v>
      </c>
    </row>
    <row r="66" customFormat="false" ht="34.5" hidden="false" customHeight="true" outlineLevel="0" collapsed="false">
      <c r="A66" s="17" t="s">
        <v>343</v>
      </c>
      <c r="B66" s="18" t="n">
        <v>46055</v>
      </c>
      <c r="C66" s="19" t="s">
        <v>344</v>
      </c>
      <c r="D66" s="19" t="s">
        <v>345</v>
      </c>
      <c r="E66" s="20" t="s">
        <v>346</v>
      </c>
      <c r="F66" s="19" t="s">
        <v>347</v>
      </c>
      <c r="G66" s="17" t="s">
        <v>14</v>
      </c>
      <c r="H66" s="17" t="n">
        <v>290</v>
      </c>
      <c r="I66" s="17"/>
      <c r="J66" s="19" t="s">
        <v>15</v>
      </c>
      <c r="K66" s="17" t="s">
        <v>49</v>
      </c>
      <c r="L66" s="21" t="n">
        <v>27012.75</v>
      </c>
      <c r="M66" s="21" t="n">
        <v>4862.3</v>
      </c>
      <c r="N66" s="21" t="n">
        <v>31875.05</v>
      </c>
      <c r="O66" s="22" t="n">
        <v>0</v>
      </c>
      <c r="P66" s="23" t="n">
        <f aca="false">N66-O66</f>
        <v>31875.05</v>
      </c>
      <c r="Q66" s="19" t="s">
        <v>50</v>
      </c>
      <c r="R66" s="19" t="s">
        <v>51</v>
      </c>
      <c r="S66" s="24"/>
      <c r="T66" s="25"/>
      <c r="U66" s="20" t="s">
        <v>348</v>
      </c>
    </row>
    <row r="67" customFormat="false" ht="57" hidden="false" customHeight="true" outlineLevel="0" collapsed="false">
      <c r="A67" s="17" t="s">
        <v>349</v>
      </c>
      <c r="B67" s="18" t="n">
        <v>46055</v>
      </c>
      <c r="C67" s="19" t="s">
        <v>344</v>
      </c>
      <c r="D67" s="19" t="s">
        <v>345</v>
      </c>
      <c r="E67" s="20" t="s">
        <v>350</v>
      </c>
      <c r="F67" s="19" t="s">
        <v>159</v>
      </c>
      <c r="G67" s="17" t="s">
        <v>14</v>
      </c>
      <c r="H67" s="17" t="n">
        <v>291</v>
      </c>
      <c r="I67" s="17"/>
      <c r="J67" s="19" t="s">
        <v>19</v>
      </c>
      <c r="K67" s="17" t="s">
        <v>49</v>
      </c>
      <c r="L67" s="21" t="n">
        <v>9848.3</v>
      </c>
      <c r="M67" s="21" t="n">
        <v>1772.69</v>
      </c>
      <c r="N67" s="21" t="n">
        <v>11620.99</v>
      </c>
      <c r="O67" s="22" t="n">
        <v>0</v>
      </c>
      <c r="P67" s="23" t="n">
        <f aca="false">N67-O67</f>
        <v>11620.99</v>
      </c>
      <c r="Q67" s="19" t="s">
        <v>50</v>
      </c>
      <c r="R67" s="19" t="s">
        <v>51</v>
      </c>
      <c r="S67" s="24"/>
      <c r="T67" s="25"/>
      <c r="U67" s="20" t="s">
        <v>351</v>
      </c>
    </row>
    <row r="68" customFormat="false" ht="23.25" hidden="false" customHeight="true" outlineLevel="0" collapsed="false">
      <c r="A68" s="17" t="s">
        <v>352</v>
      </c>
      <c r="B68" s="18" t="n">
        <v>46056</v>
      </c>
      <c r="C68" s="19" t="s">
        <v>353</v>
      </c>
      <c r="D68" s="19" t="s">
        <v>69</v>
      </c>
      <c r="E68" s="20" t="s">
        <v>299</v>
      </c>
      <c r="F68" s="19" t="s">
        <v>159</v>
      </c>
      <c r="G68" s="17" t="s">
        <v>16</v>
      </c>
      <c r="H68" s="17"/>
      <c r="I68" s="17" t="n">
        <v>400213</v>
      </c>
      <c r="J68" s="19" t="s">
        <v>15</v>
      </c>
      <c r="K68" s="17" t="s">
        <v>64</v>
      </c>
      <c r="L68" s="21" t="n">
        <v>295</v>
      </c>
      <c r="M68" s="21" t="n">
        <v>53.1</v>
      </c>
      <c r="N68" s="21" t="n">
        <v>348.1</v>
      </c>
      <c r="O68" s="22" t="n">
        <v>0</v>
      </c>
      <c r="P68" s="23" t="n">
        <f aca="false">N68-O68</f>
        <v>348.1</v>
      </c>
      <c r="Q68" s="19" t="s">
        <v>65</v>
      </c>
      <c r="R68" s="19" t="s">
        <v>38</v>
      </c>
      <c r="S68" s="24"/>
      <c r="T68" s="25"/>
      <c r="U68" s="20" t="s">
        <v>354</v>
      </c>
    </row>
    <row r="69" customFormat="false" ht="34.5" hidden="false" customHeight="true" outlineLevel="0" collapsed="false">
      <c r="A69" s="17" t="s">
        <v>355</v>
      </c>
      <c r="B69" s="18" t="n">
        <v>46056</v>
      </c>
      <c r="C69" s="19" t="s">
        <v>130</v>
      </c>
      <c r="D69" s="19" t="s">
        <v>356</v>
      </c>
      <c r="E69" s="20" t="s">
        <v>357</v>
      </c>
      <c r="F69" s="19" t="s">
        <v>159</v>
      </c>
      <c r="G69" s="17" t="s">
        <v>18</v>
      </c>
      <c r="H69" s="17"/>
      <c r="I69" s="17" t="n">
        <v>1000286</v>
      </c>
      <c r="J69" s="19" t="s">
        <v>15</v>
      </c>
      <c r="K69" s="17" t="s">
        <v>64</v>
      </c>
      <c r="L69" s="21" t="n">
        <v>270</v>
      </c>
      <c r="M69" s="21" t="n">
        <v>48.6</v>
      </c>
      <c r="N69" s="21" t="n">
        <v>318.6</v>
      </c>
      <c r="O69" s="22" t="n">
        <v>0</v>
      </c>
      <c r="P69" s="23" t="n">
        <f aca="false">N69-O69</f>
        <v>318.6</v>
      </c>
      <c r="Q69" s="19" t="s">
        <v>65</v>
      </c>
      <c r="R69" s="19" t="s">
        <v>38</v>
      </c>
      <c r="S69" s="24"/>
      <c r="T69" s="25"/>
      <c r="U69" s="20" t="s">
        <v>358</v>
      </c>
    </row>
    <row r="70" customFormat="false" ht="57" hidden="false" customHeight="true" outlineLevel="0" collapsed="false">
      <c r="A70" s="17" t="s">
        <v>359</v>
      </c>
      <c r="B70" s="18" t="n">
        <v>46056</v>
      </c>
      <c r="C70" s="19" t="s">
        <v>139</v>
      </c>
      <c r="D70" s="19" t="s">
        <v>140</v>
      </c>
      <c r="E70" s="20" t="s">
        <v>360</v>
      </c>
      <c r="F70" s="19" t="s">
        <v>361</v>
      </c>
      <c r="G70" s="17" t="s">
        <v>14</v>
      </c>
      <c r="H70" s="17" t="n">
        <v>294</v>
      </c>
      <c r="I70" s="17"/>
      <c r="J70" s="19" t="s">
        <v>17</v>
      </c>
      <c r="K70" s="17" t="s">
        <v>49</v>
      </c>
      <c r="L70" s="21" t="n">
        <v>2310</v>
      </c>
      <c r="M70" s="21" t="n">
        <v>415.8</v>
      </c>
      <c r="N70" s="21" t="n">
        <v>2725.8</v>
      </c>
      <c r="O70" s="22" t="n">
        <v>0</v>
      </c>
      <c r="P70" s="23" t="n">
        <f aca="false">N70-O70</f>
        <v>2725.8</v>
      </c>
      <c r="Q70" s="19" t="s">
        <v>50</v>
      </c>
      <c r="R70" s="19" t="s">
        <v>51</v>
      </c>
      <c r="S70" s="24"/>
      <c r="T70" s="25"/>
      <c r="U70" s="20" t="s">
        <v>362</v>
      </c>
    </row>
    <row r="71" customFormat="false" ht="45.75" hidden="false" customHeight="true" outlineLevel="0" collapsed="false">
      <c r="A71" s="17" t="s">
        <v>363</v>
      </c>
      <c r="B71" s="18" t="n">
        <v>46056</v>
      </c>
      <c r="C71" s="19" t="s">
        <v>139</v>
      </c>
      <c r="D71" s="19" t="s">
        <v>140</v>
      </c>
      <c r="E71" s="20" t="s">
        <v>364</v>
      </c>
      <c r="F71" s="19" t="s">
        <v>365</v>
      </c>
      <c r="G71" s="17" t="s">
        <v>14</v>
      </c>
      <c r="H71" s="17" t="n">
        <v>295</v>
      </c>
      <c r="I71" s="17"/>
      <c r="J71" s="19" t="s">
        <v>17</v>
      </c>
      <c r="K71" s="17" t="s">
        <v>49</v>
      </c>
      <c r="L71" s="21" t="n">
        <v>1960</v>
      </c>
      <c r="M71" s="21" t="n">
        <v>352.8</v>
      </c>
      <c r="N71" s="21" t="n">
        <v>2312.8</v>
      </c>
      <c r="O71" s="22" t="n">
        <v>0</v>
      </c>
      <c r="P71" s="23" t="n">
        <f aca="false">N71-O71</f>
        <v>2312.8</v>
      </c>
      <c r="Q71" s="19" t="s">
        <v>50</v>
      </c>
      <c r="R71" s="19" t="s">
        <v>51</v>
      </c>
      <c r="S71" s="24"/>
      <c r="T71" s="25"/>
      <c r="U71" s="20" t="s">
        <v>366</v>
      </c>
    </row>
    <row r="72" customFormat="false" ht="57" hidden="false" customHeight="true" outlineLevel="0" collapsed="false">
      <c r="A72" s="17" t="s">
        <v>367</v>
      </c>
      <c r="B72" s="18" t="n">
        <v>46056</v>
      </c>
      <c r="C72" s="19" t="s">
        <v>139</v>
      </c>
      <c r="D72" s="19" t="s">
        <v>140</v>
      </c>
      <c r="E72" s="20" t="s">
        <v>368</v>
      </c>
      <c r="F72" s="19" t="s">
        <v>249</v>
      </c>
      <c r="G72" s="17" t="s">
        <v>14</v>
      </c>
      <c r="H72" s="17" t="n">
        <v>294</v>
      </c>
      <c r="I72" s="17"/>
      <c r="J72" s="19" t="s">
        <v>17</v>
      </c>
      <c r="K72" s="17" t="s">
        <v>49</v>
      </c>
      <c r="L72" s="21" t="n">
        <v>2170</v>
      </c>
      <c r="M72" s="21" t="n">
        <v>390.6</v>
      </c>
      <c r="N72" s="21" t="n">
        <v>2560.6</v>
      </c>
      <c r="O72" s="22" t="n">
        <v>0</v>
      </c>
      <c r="P72" s="23" t="n">
        <f aca="false">N72-O72</f>
        <v>2560.6</v>
      </c>
      <c r="Q72" s="19" t="s">
        <v>50</v>
      </c>
      <c r="R72" s="19" t="s">
        <v>51</v>
      </c>
      <c r="S72" s="24"/>
      <c r="T72" s="25"/>
      <c r="U72" s="20" t="s">
        <v>369</v>
      </c>
    </row>
    <row r="73" customFormat="false" ht="23.25" hidden="false" customHeight="true" outlineLevel="0" collapsed="false">
      <c r="A73" s="17" t="s">
        <v>370</v>
      </c>
      <c r="B73" s="18" t="n">
        <v>46056</v>
      </c>
      <c r="C73" s="19" t="s">
        <v>212</v>
      </c>
      <c r="D73" s="19" t="s">
        <v>213</v>
      </c>
      <c r="E73" s="20" t="s">
        <v>371</v>
      </c>
      <c r="F73" s="19" t="s">
        <v>372</v>
      </c>
      <c r="G73" s="17" t="s">
        <v>14</v>
      </c>
      <c r="H73" s="17" t="n">
        <v>296</v>
      </c>
      <c r="I73" s="17"/>
      <c r="J73" s="19" t="s">
        <v>17</v>
      </c>
      <c r="K73" s="17" t="s">
        <v>49</v>
      </c>
      <c r="L73" s="21" t="n">
        <v>1796</v>
      </c>
      <c r="M73" s="21" t="n">
        <v>323.28</v>
      </c>
      <c r="N73" s="21" t="n">
        <v>2119.28</v>
      </c>
      <c r="O73" s="22" t="n">
        <v>0</v>
      </c>
      <c r="P73" s="23" t="n">
        <f aca="false">N73-O73</f>
        <v>2119.28</v>
      </c>
      <c r="Q73" s="19" t="s">
        <v>50</v>
      </c>
      <c r="R73" s="19" t="s">
        <v>51</v>
      </c>
      <c r="S73" s="24"/>
      <c r="T73" s="25"/>
      <c r="U73" s="20" t="s">
        <v>373</v>
      </c>
    </row>
    <row r="74" customFormat="false" ht="23.25" hidden="false" customHeight="true" outlineLevel="0" collapsed="false">
      <c r="A74" s="17" t="s">
        <v>374</v>
      </c>
      <c r="B74" s="18" t="n">
        <v>46057</v>
      </c>
      <c r="C74" s="19" t="s">
        <v>375</v>
      </c>
      <c r="D74" s="19" t="s">
        <v>376</v>
      </c>
      <c r="E74" s="20" t="s">
        <v>377</v>
      </c>
      <c r="F74" s="19" t="s">
        <v>378</v>
      </c>
      <c r="G74" s="17" t="s">
        <v>14</v>
      </c>
      <c r="H74" s="17" t="n">
        <v>297</v>
      </c>
      <c r="I74" s="17"/>
      <c r="J74" s="19" t="s">
        <v>17</v>
      </c>
      <c r="K74" s="17" t="s">
        <v>49</v>
      </c>
      <c r="L74" s="21" t="n">
        <v>615</v>
      </c>
      <c r="M74" s="21" t="n">
        <v>110.7</v>
      </c>
      <c r="N74" s="21" t="n">
        <v>725.7</v>
      </c>
      <c r="O74" s="22" t="n">
        <v>0</v>
      </c>
      <c r="P74" s="23" t="n">
        <f aca="false">N74-O74</f>
        <v>725.7</v>
      </c>
      <c r="Q74" s="19" t="s">
        <v>50</v>
      </c>
      <c r="R74" s="19" t="s">
        <v>51</v>
      </c>
      <c r="S74" s="24"/>
      <c r="T74" s="25"/>
      <c r="U74" s="20" t="s">
        <v>379</v>
      </c>
    </row>
    <row r="75" customFormat="false" ht="23.25" hidden="false" customHeight="true" outlineLevel="0" collapsed="false">
      <c r="A75" s="17" t="s">
        <v>380</v>
      </c>
      <c r="B75" s="18" t="n">
        <v>46057</v>
      </c>
      <c r="C75" s="19" t="s">
        <v>381</v>
      </c>
      <c r="D75" s="19" t="s">
        <v>382</v>
      </c>
      <c r="E75" s="20" t="s">
        <v>383</v>
      </c>
      <c r="F75" s="19" t="s">
        <v>361</v>
      </c>
      <c r="G75" s="17" t="s">
        <v>14</v>
      </c>
      <c r="H75" s="17" t="n">
        <v>298</v>
      </c>
      <c r="I75" s="17"/>
      <c r="J75" s="19" t="s">
        <v>17</v>
      </c>
      <c r="K75" s="17" t="s">
        <v>49</v>
      </c>
      <c r="L75" s="21" t="n">
        <v>4277</v>
      </c>
      <c r="M75" s="21" t="n">
        <v>769.86</v>
      </c>
      <c r="N75" s="21" t="n">
        <v>5046.86</v>
      </c>
      <c r="O75" s="22" t="n">
        <v>0</v>
      </c>
      <c r="P75" s="23" t="n">
        <f aca="false">N75-O75</f>
        <v>5046.86</v>
      </c>
      <c r="Q75" s="19" t="s">
        <v>50</v>
      </c>
      <c r="R75" s="19" t="s">
        <v>51</v>
      </c>
      <c r="S75" s="24"/>
      <c r="T75" s="25"/>
      <c r="U75" s="20" t="s">
        <v>384</v>
      </c>
    </row>
    <row r="76" customFormat="false" ht="34.5" hidden="false" customHeight="true" outlineLevel="0" collapsed="false">
      <c r="A76" s="17" t="s">
        <v>385</v>
      </c>
      <c r="B76" s="18" t="n">
        <v>46057</v>
      </c>
      <c r="C76" s="19" t="s">
        <v>212</v>
      </c>
      <c r="D76" s="19" t="s">
        <v>213</v>
      </c>
      <c r="E76" s="20" t="s">
        <v>386</v>
      </c>
      <c r="F76" s="19" t="s">
        <v>387</v>
      </c>
      <c r="G76" s="17" t="s">
        <v>14</v>
      </c>
      <c r="H76" s="17" t="n">
        <v>300</v>
      </c>
      <c r="I76" s="17"/>
      <c r="J76" s="19" t="s">
        <v>17</v>
      </c>
      <c r="K76" s="17" t="s">
        <v>49</v>
      </c>
      <c r="L76" s="21" t="n">
        <v>35967</v>
      </c>
      <c r="M76" s="21" t="n">
        <v>6474.06</v>
      </c>
      <c r="N76" s="21" t="n">
        <v>42441.06</v>
      </c>
      <c r="O76" s="22" t="n">
        <v>0</v>
      </c>
      <c r="P76" s="23" t="n">
        <f aca="false">N76-O76</f>
        <v>42441.06</v>
      </c>
      <c r="Q76" s="19" t="s">
        <v>50</v>
      </c>
      <c r="R76" s="19" t="s">
        <v>51</v>
      </c>
      <c r="S76" s="24"/>
      <c r="T76" s="25"/>
      <c r="U76" s="20" t="s">
        <v>388</v>
      </c>
    </row>
    <row r="77" customFormat="false" ht="15" hidden="false" customHeight="true" outlineLevel="0" collapsed="false">
      <c r="A77" s="26" t="s">
        <v>389</v>
      </c>
      <c r="B77" s="27" t="n">
        <v>46059</v>
      </c>
      <c r="C77" s="28" t="s">
        <v>390</v>
      </c>
      <c r="D77" s="28" t="s">
        <v>391</v>
      </c>
      <c r="E77" s="29" t="s">
        <v>392</v>
      </c>
      <c r="F77" s="28" t="s">
        <v>159</v>
      </c>
      <c r="G77" s="26" t="s">
        <v>16</v>
      </c>
      <c r="H77" s="26"/>
      <c r="I77" s="26" t="n">
        <v>400214</v>
      </c>
      <c r="J77" s="28" t="s">
        <v>15</v>
      </c>
      <c r="K77" s="26" t="s">
        <v>64</v>
      </c>
      <c r="L77" s="30" t="n">
        <v>8474.58</v>
      </c>
      <c r="M77" s="30" t="n">
        <v>1525.42</v>
      </c>
      <c r="N77" s="30" t="n">
        <v>10000</v>
      </c>
      <c r="O77" s="31" t="n">
        <v>0</v>
      </c>
      <c r="P77" s="32" t="n">
        <f aca="false">N77-O77</f>
        <v>10000</v>
      </c>
      <c r="Q77" s="28" t="s">
        <v>65</v>
      </c>
      <c r="R77" s="28" t="s">
        <v>38</v>
      </c>
      <c r="S77" s="33"/>
      <c r="T77" s="34"/>
      <c r="U77" s="29" t="s">
        <v>393</v>
      </c>
    </row>
    <row r="78" customFormat="false" ht="15" hidden="false" customHeight="true" outlineLevel="0" collapsed="false">
      <c r="A78" s="26" t="s">
        <v>394</v>
      </c>
      <c r="B78" s="27" t="n">
        <v>46060</v>
      </c>
      <c r="C78" s="28" t="s">
        <v>212</v>
      </c>
      <c r="D78" s="28" t="s">
        <v>213</v>
      </c>
      <c r="E78" s="29" t="s">
        <v>395</v>
      </c>
      <c r="F78" s="28" t="s">
        <v>396</v>
      </c>
      <c r="G78" s="26" t="s">
        <v>14</v>
      </c>
      <c r="H78" s="26" t="n">
        <v>301</v>
      </c>
      <c r="I78" s="26"/>
      <c r="J78" s="28" t="s">
        <v>17</v>
      </c>
      <c r="K78" s="26" t="s">
        <v>49</v>
      </c>
      <c r="L78" s="30" t="n">
        <v>3405</v>
      </c>
      <c r="M78" s="30" t="n">
        <v>612.9</v>
      </c>
      <c r="N78" s="30" t="n">
        <v>4017.9</v>
      </c>
      <c r="O78" s="31" t="n">
        <v>0</v>
      </c>
      <c r="P78" s="32" t="n">
        <f aca="false">N78-O78</f>
        <v>4017.9</v>
      </c>
      <c r="Q78" s="28" t="s">
        <v>50</v>
      </c>
      <c r="R78" s="28" t="s">
        <v>51</v>
      </c>
      <c r="S78" s="33"/>
      <c r="T78" s="34"/>
      <c r="U78" s="29" t="s">
        <v>397</v>
      </c>
    </row>
    <row r="79" customFormat="false" ht="15" hidden="false" customHeight="true" outlineLevel="0" collapsed="false">
      <c r="A79" s="26" t="s">
        <v>398</v>
      </c>
      <c r="B79" s="27">
        <v>46065</v>
      </c>
      <c r="C79" s="28" t="s">
        <v>312</v>
      </c>
      <c r="D79" s="28" t="s">
        <v>851</v>
      </c>
      <c r="E79" s="29" t="s">
        <v>852</v>
      </c>
      <c r="F79" s="28" t="s">
        <v>292</v>
      </c>
      <c r="G79" s="26" t="s">
        <v>18</v>
      </c>
      <c r="H79" s="26">
        <v>303</v>
      </c>
      <c r="I79" s="26">
        <v>1000290</v>
      </c>
      <c r="J79" s="28" t="s">
        <v>17</v>
      </c>
      <c r="K79" s="26" t="s">
        <v>64</v>
      </c>
      <c r="L79" s="30">
        <v>652.5</v>
      </c>
      <c r="M79" s="30">
        <v>117.45</v>
      </c>
      <c r="N79" s="30">
        <v>769.95</v>
      </c>
      <c r="O79" s="31">
        <v>0</v>
      </c>
      <c r="P79" s="32">
        <f>N79-O79</f>
      </c>
      <c r="Q79" s="28" t="s">
        <v>853</v>
      </c>
      <c r="R79" s="28" t="s">
        <v>854</v>
      </c>
      <c r="U79" s="29" t="s">
        <v>855</v>
      </c>
    </row>
    <row r="80" customFormat="false" ht="15" hidden="false" customHeight="true" outlineLevel="0" collapsed="false">
      <c r="A80" s="26" t="s">
        <v>402</v>
      </c>
      <c r="B80" s="27" t="n">
        <v>46060</v>
      </c>
      <c r="C80" s="28" t="s">
        <v>110</v>
      </c>
      <c r="D80" s="28" t="s">
        <v>206</v>
      </c>
      <c r="E80" s="29" t="s">
        <v>403</v>
      </c>
      <c r="F80" s="28" t="s">
        <v>404</v>
      </c>
      <c r="G80" s="26" t="s">
        <v>14</v>
      </c>
      <c r="H80" s="26" t="n">
        <v>302</v>
      </c>
      <c r="I80" s="26"/>
      <c r="J80" s="28" t="s">
        <v>15</v>
      </c>
      <c r="K80" s="26" t="s">
        <v>49</v>
      </c>
      <c r="L80" s="30" t="n">
        <v>3631.66</v>
      </c>
      <c r="M80" s="30" t="n">
        <v>653.69</v>
      </c>
      <c r="N80" s="30" t="n">
        <v>4285.35</v>
      </c>
      <c r="O80" s="31" t="n">
        <v>0</v>
      </c>
      <c r="P80" s="32" t="n">
        <f aca="false">N80-O80</f>
        <v>4285.35</v>
      </c>
      <c r="Q80" s="28" t="s">
        <v>50</v>
      </c>
      <c r="R80" s="28" t="s">
        <v>51</v>
      </c>
      <c r="S80" s="33"/>
      <c r="T80" s="34"/>
      <c r="U80" s="29" t="s">
        <v>405</v>
      </c>
    </row>
    <row r="81" customFormat="false" ht="15" hidden="false" customHeight="true" outlineLevel="0" collapsed="false">
      <c r="A81" s="26" t="s">
        <v>406</v>
      </c>
      <c r="B81" s="27" t="n">
        <v>46060</v>
      </c>
      <c r="C81" s="28" t="s">
        <v>312</v>
      </c>
      <c r="D81" s="28" t="s">
        <v>407</v>
      </c>
      <c r="E81" s="29" t="s">
        <v>408</v>
      </c>
      <c r="F81" s="28" t="s">
        <v>409</v>
      </c>
      <c r="G81" s="26" t="s">
        <v>14</v>
      </c>
      <c r="H81" s="26" t="n">
        <v>304</v>
      </c>
      <c r="I81" s="26"/>
      <c r="J81" s="28" t="s">
        <v>17</v>
      </c>
      <c r="K81" s="26" t="s">
        <v>49</v>
      </c>
      <c r="L81" s="30" t="n">
        <v>4595.55</v>
      </c>
      <c r="M81" s="30" t="n">
        <v>827.2</v>
      </c>
      <c r="N81" s="30" t="n">
        <v>5422.75</v>
      </c>
      <c r="O81" s="31" t="n">
        <v>0</v>
      </c>
      <c r="P81" s="32" t="n">
        <f aca="false">N81-O81</f>
        <v>5422.75</v>
      </c>
      <c r="Q81" s="28" t="s">
        <v>50</v>
      </c>
      <c r="R81" s="28" t="s">
        <v>51</v>
      </c>
      <c r="S81" s="33"/>
      <c r="T81" s="34"/>
      <c r="U81" s="29" t="s">
        <v>410</v>
      </c>
    </row>
    <row r="82" customFormat="false" ht="15" hidden="false" customHeight="true" outlineLevel="0" collapsed="false">
      <c r="A82" s="26" t="s">
        <v>411</v>
      </c>
      <c r="B82" s="27" t="n">
        <v>46055</v>
      </c>
      <c r="C82" s="28" t="s">
        <v>412</v>
      </c>
      <c r="D82" s="28" t="s">
        <v>247</v>
      </c>
      <c r="E82" s="29" t="s">
        <v>413</v>
      </c>
      <c r="F82" s="28" t="s">
        <v>414</v>
      </c>
      <c r="G82" s="26" t="s">
        <v>14</v>
      </c>
      <c r="H82" s="26" t="n">
        <v>292</v>
      </c>
      <c r="I82" s="26"/>
      <c r="J82" s="28" t="s">
        <v>17</v>
      </c>
      <c r="K82" s="26" t="s">
        <v>49</v>
      </c>
      <c r="L82" s="30" t="n">
        <v>6059</v>
      </c>
      <c r="M82" s="30" t="n">
        <v>1090.62</v>
      </c>
      <c r="N82" s="30" t="n">
        <v>7149.62</v>
      </c>
      <c r="O82" s="31" t="n">
        <v>0</v>
      </c>
      <c r="P82" s="32" t="n">
        <f aca="false">N82-O82</f>
        <v>7149.62</v>
      </c>
      <c r="Q82" s="28" t="s">
        <v>50</v>
      </c>
      <c r="R82" s="28" t="s">
        <v>51</v>
      </c>
      <c r="S82" s="33"/>
      <c r="T82" s="34"/>
      <c r="U82" s="29" t="s">
        <v>415</v>
      </c>
    </row>
    <row r="83" customFormat="false" ht="15" hidden="false" customHeight="true" outlineLevel="0" collapsed="false">
      <c r="A83" s="26" t="s">
        <v>416</v>
      </c>
      <c r="B83" s="27" t="n">
        <v>46065</v>
      </c>
      <c r="C83" s="28" t="s">
        <v>417</v>
      </c>
      <c r="D83" s="28" t="s">
        <v>418</v>
      </c>
      <c r="E83" s="29" t="s">
        <v>419</v>
      </c>
      <c r="F83" s="28" t="s">
        <v>420</v>
      </c>
      <c r="G83" s="26" t="s">
        <v>14</v>
      </c>
      <c r="H83" s="26" t="n">
        <v>305</v>
      </c>
      <c r="I83" s="26"/>
      <c r="J83" s="28" t="s">
        <v>17</v>
      </c>
      <c r="K83" s="26" t="s">
        <v>49</v>
      </c>
      <c r="L83" s="30" t="n">
        <v>6270</v>
      </c>
      <c r="M83" s="30" t="n">
        <v>1128.6</v>
      </c>
      <c r="N83" s="30" t="n">
        <v>7398.6</v>
      </c>
      <c r="O83" s="31" t="n">
        <v>0</v>
      </c>
      <c r="P83" s="32" t="n">
        <f aca="false">N83-O83</f>
        <v>7398.6</v>
      </c>
      <c r="Q83" s="28" t="s">
        <v>50</v>
      </c>
      <c r="R83" s="28" t="s">
        <v>51</v>
      </c>
      <c r="S83" s="33"/>
      <c r="T83" s="34"/>
      <c r="U83" s="29" t="s">
        <v>421</v>
      </c>
    </row>
    <row r="84" customFormat="false" ht="15" hidden="false" customHeight="true" outlineLevel="0" collapsed="false">
      <c r="A84" s="26" t="s">
        <v>422</v>
      </c>
      <c r="B84" s="27">
        <v>46067</v>
      </c>
      <c r="C84" s="28" t="s">
        <v>423</v>
      </c>
      <c r="D84" s="28" t="s">
        <v>424</v>
      </c>
      <c r="E84" s="29" t="s">
        <v>856</v>
      </c>
      <c r="F84" s="28" t="s">
        <v>89</v>
      </c>
      <c r="G84" s="26" t="s">
        <v>18</v>
      </c>
      <c r="H84" s="26">
        <v>306</v>
      </c>
      <c r="I84" s="26">
        <v>1000296</v>
      </c>
      <c r="J84" s="28" t="s">
        <v>17</v>
      </c>
      <c r="K84" s="26" t="s">
        <v>64</v>
      </c>
      <c r="L84" s="30">
        <v>7794.0</v>
      </c>
      <c r="M84" s="30">
        <v>1402.92</v>
      </c>
      <c r="N84" s="30">
        <v>9196.92</v>
      </c>
      <c r="O84" s="31">
        <v>3678.76</v>
      </c>
      <c r="P84" s="32">
        <f>N84-O84</f>
      </c>
      <c r="Q84" s="28" t="s">
        <v>853</v>
      </c>
      <c r="R84" s="28" t="s">
        <v>209</v>
      </c>
      <c r="U84" s="29" t="s">
        <v>857</v>
      </c>
    </row>
    <row r="85" customFormat="false" ht="15" hidden="false" customHeight="true" outlineLevel="0" collapsed="false">
      <c r="A85" s="26" t="s">
        <v>427</v>
      </c>
      <c r="B85" s="27" t="n">
        <v>46063</v>
      </c>
      <c r="C85" s="28" t="s">
        <v>428</v>
      </c>
      <c r="D85" s="28" t="s">
        <v>429</v>
      </c>
      <c r="E85" s="29" t="s">
        <v>430</v>
      </c>
      <c r="F85" s="28" t="s">
        <v>159</v>
      </c>
      <c r="G85" s="26" t="s">
        <v>18</v>
      </c>
      <c r="H85" s="26"/>
      <c r="I85" s="26" t="n">
        <v>1000289</v>
      </c>
      <c r="J85" s="28" t="s">
        <v>17</v>
      </c>
      <c r="K85" s="26" t="s">
        <v>64</v>
      </c>
      <c r="L85" s="30" t="n">
        <v>360</v>
      </c>
      <c r="M85" s="30" t="n">
        <v>64.8</v>
      </c>
      <c r="N85" s="30" t="n">
        <v>424.8</v>
      </c>
      <c r="O85" s="31" t="n">
        <v>0</v>
      </c>
      <c r="P85" s="32" t="n">
        <f aca="false">N85-O85</f>
        <v>424.8</v>
      </c>
      <c r="Q85" s="28" t="s">
        <v>96</v>
      </c>
      <c r="R85" s="28" t="s">
        <v>38</v>
      </c>
      <c r="S85" s="33"/>
      <c r="T85" s="34"/>
      <c r="U85" s="29" t="s">
        <v>431</v>
      </c>
    </row>
    <row r="86" customFormat="false" ht="15" hidden="false" customHeight="true" outlineLevel="0" collapsed="false">
      <c r="A86" s="26" t="s">
        <v>432</v>
      </c>
      <c r="B86" s="27" t="n">
        <v>46060</v>
      </c>
      <c r="C86" s="28" t="s">
        <v>433</v>
      </c>
      <c r="D86" s="28" t="s">
        <v>434</v>
      </c>
      <c r="E86" s="29" t="s">
        <v>435</v>
      </c>
      <c r="F86" s="28" t="s">
        <v>159</v>
      </c>
      <c r="G86" s="26" t="s">
        <v>18</v>
      </c>
      <c r="H86" s="26" t="n">
        <v>289</v>
      </c>
      <c r="I86" s="26" t="n">
        <v>1000287</v>
      </c>
      <c r="J86" s="28" t="s">
        <v>15</v>
      </c>
      <c r="K86" s="26" t="s">
        <v>64</v>
      </c>
      <c r="L86" s="30" t="n">
        <v>10090.5</v>
      </c>
      <c r="M86" s="30" t="n">
        <v>1816.29</v>
      </c>
      <c r="N86" s="30" t="n">
        <v>11906.79</v>
      </c>
      <c r="O86" s="31" t="n">
        <v>4762.71</v>
      </c>
      <c r="P86" s="32" t="n">
        <f aca="false">N86-O86</f>
        <v>7144.08</v>
      </c>
      <c r="Q86" s="28" t="s">
        <v>65</v>
      </c>
      <c r="R86" s="28" t="s">
        <v>209</v>
      </c>
      <c r="S86" s="33"/>
      <c r="T86" s="34"/>
      <c r="U86" s="29" t="s">
        <v>436</v>
      </c>
    </row>
    <row r="87" customFormat="false" ht="15" hidden="false" customHeight="true" outlineLevel="0" collapsed="false">
      <c r="A87" s="26" t="s">
        <v>437</v>
      </c>
      <c r="B87" s="27" t="n">
        <v>46066</v>
      </c>
      <c r="C87" s="28" t="s">
        <v>438</v>
      </c>
      <c r="D87" s="28" t="s">
        <v>439</v>
      </c>
      <c r="E87" s="29" t="s">
        <v>440</v>
      </c>
      <c r="F87" s="28" t="s">
        <v>441</v>
      </c>
      <c r="G87" s="26" t="s">
        <v>18</v>
      </c>
      <c r="H87" s="26"/>
      <c r="I87" s="26" t="n">
        <v>1000293</v>
      </c>
      <c r="J87" s="28" t="s">
        <v>17</v>
      </c>
      <c r="K87" s="26" t="s">
        <v>64</v>
      </c>
      <c r="L87" s="30" t="n">
        <v>2594</v>
      </c>
      <c r="M87" s="30" t="n">
        <v>466.92</v>
      </c>
      <c r="N87" s="30" t="n">
        <v>3060.92</v>
      </c>
      <c r="O87" s="31" t="n">
        <v>0</v>
      </c>
      <c r="P87" s="32" t="n">
        <f aca="false">N87-O87</f>
        <v>3060.92</v>
      </c>
      <c r="Q87" s="28" t="s">
        <v>96</v>
      </c>
      <c r="R87" s="28" t="s">
        <v>38</v>
      </c>
      <c r="S87" s="33"/>
      <c r="T87" s="34"/>
      <c r="U87" s="29" t="s">
        <v>442</v>
      </c>
    </row>
    <row r="88" customFormat="false" ht="15" hidden="false" customHeight="true" outlineLevel="0" collapsed="false">
      <c r="A88" s="26" t="s">
        <v>443</v>
      </c>
      <c r="B88" s="27" t="n">
        <v>46066</v>
      </c>
      <c r="C88" s="28" t="s">
        <v>60</v>
      </c>
      <c r="D88" s="28" t="s">
        <v>111</v>
      </c>
      <c r="E88" s="29" t="s">
        <v>444</v>
      </c>
      <c r="F88" s="28" t="s">
        <v>89</v>
      </c>
      <c r="G88" s="26" t="s">
        <v>18</v>
      </c>
      <c r="H88" s="26"/>
      <c r="I88" s="26" t="n">
        <v>1000291</v>
      </c>
      <c r="J88" s="28" t="s">
        <v>17</v>
      </c>
      <c r="K88" s="26" t="s">
        <v>64</v>
      </c>
      <c r="L88" s="30" t="n">
        <v>1579.5</v>
      </c>
      <c r="M88" s="30" t="n">
        <v>284.31</v>
      </c>
      <c r="N88" s="30" t="n">
        <v>1863.81</v>
      </c>
      <c r="O88" s="31" t="n">
        <v>0</v>
      </c>
      <c r="P88" s="32" t="n">
        <f aca="false">N88-O88</f>
        <v>1863.81</v>
      </c>
      <c r="Q88" s="28" t="s">
        <v>96</v>
      </c>
      <c r="R88" s="28" t="s">
        <v>38</v>
      </c>
      <c r="S88" s="33"/>
      <c r="T88" s="34"/>
      <c r="U88" s="29" t="s">
        <v>445</v>
      </c>
    </row>
    <row r="89" customFormat="false" ht="15" hidden="false" customHeight="true" outlineLevel="0" collapsed="false">
      <c r="A89" s="26" t="s">
        <v>858</v>
      </c>
      <c r="B89" s="27">
        <v>46067</v>
      </c>
      <c r="C89" s="28" t="s">
        <v>859</v>
      </c>
      <c r="D89" s="28" t="s">
        <v>163</v>
      </c>
      <c r="E89" s="29" t="s">
        <v>860</v>
      </c>
      <c r="F89" s="28" t="s">
        <v>861</v>
      </c>
      <c r="G89" s="26" t="s">
        <v>14</v>
      </c>
      <c r="H89" s="26">
        <v>309</v>
      </c>
      <c r="J89" s="28" t="s">
        <v>17</v>
      </c>
      <c r="K89" s="26" t="s">
        <v>49</v>
      </c>
      <c r="L89" s="30">
        <v>15204.6</v>
      </c>
      <c r="M89" s="30">
        <v>2736.83</v>
      </c>
      <c r="N89" s="30">
        <v>17941.43</v>
      </c>
      <c r="O89" s="31">
        <v>0</v>
      </c>
      <c r="P89" s="32">
        <f>N89-O89</f>
      </c>
      <c r="Q89" s="28" t="s">
        <v>862</v>
      </c>
      <c r="R89" s="28" t="s">
        <v>51</v>
      </c>
      <c r="U89" s="29" t="s">
        <v>863</v>
      </c>
    </row>
    <row r="90" customFormat="false" ht="15" hidden="false" customHeight="true" outlineLevel="0" collapsed="false">
      <c r="A90" s="26" t="s">
        <v>864</v>
      </c>
      <c r="B90" s="27">
        <v>46067</v>
      </c>
      <c r="C90" s="28" t="s">
        <v>865</v>
      </c>
      <c r="D90" s="28" t="s">
        <v>866</v>
      </c>
      <c r="E90" s="29" t="s">
        <v>867</v>
      </c>
      <c r="F90" s="28" t="s">
        <v>868</v>
      </c>
      <c r="G90" s="26" t="s">
        <v>14</v>
      </c>
      <c r="H90" s="26">
        <v>310</v>
      </c>
      <c r="J90" s="28" t="s">
        <v>17</v>
      </c>
      <c r="K90" s="26" t="s">
        <v>49</v>
      </c>
      <c r="L90" s="30">
        <v>9336.0</v>
      </c>
      <c r="M90" s="30">
        <v>1680.48</v>
      </c>
      <c r="N90" s="30">
        <v>11016.48</v>
      </c>
      <c r="O90" s="31">
        <v>0</v>
      </c>
      <c r="P90" s="32">
        <f>N90-O90</f>
      </c>
      <c r="Q90" s="28" t="s">
        <v>862</v>
      </c>
      <c r="R90" s="28" t="s">
        <v>51</v>
      </c>
      <c r="U90" s="29" t="s">
        <v>863</v>
      </c>
    </row>
    <row r="91" customFormat="false" ht="15" hidden="false" customHeight="true" outlineLevel="0" collapsed="false">
      <c r="A91" s="26" t="s">
        <v>875</v>
      </c>
      <c r="B91" s="27">
        <v>46070</v>
      </c>
      <c r="C91" s="28" t="s">
        <v>876</v>
      </c>
      <c r="D91" s="28" t="s">
        <v>877</v>
      </c>
      <c r="E91" s="29" t="s">
        <v>878</v>
      </c>
      <c r="F91" s="28" t="s">
        <v>879</v>
      </c>
      <c r="G91" s="26" t="s">
        <v>16</v>
      </c>
      <c r="I91" s="26">
        <v>400215</v>
      </c>
      <c r="J91" s="28" t="s">
        <v>15</v>
      </c>
      <c r="K91" s="26" t="s">
        <v>64</v>
      </c>
      <c r="L91" s="30">
        <v>90.0</v>
      </c>
      <c r="M91" s="30">
        <v>16.2</v>
      </c>
      <c r="N91" s="30">
        <v>106.2</v>
      </c>
      <c r="O91" s="31">
        <v>0</v>
      </c>
      <c r="P91" s="32">
        <f>N91-O91</f>
      </c>
      <c r="Q91" s="28" t="s">
        <v>65</v>
      </c>
      <c r="R91" s="28" t="s">
        <v>854</v>
      </c>
      <c r="U91" s="29" t="s">
        <v>880</v>
      </c>
    </row>
    <row r="92" customFormat="false" ht="15" hidden="false" customHeight="true" outlineLevel="0" collapsed="false">
      <c r="A92" s="26" t="s">
        <v>881</v>
      </c>
      <c r="B92" s="27">
        <v>46070</v>
      </c>
      <c r="C92" s="28" t="s">
        <v>433</v>
      </c>
      <c r="D92" s="28" t="s">
        <v>882</v>
      </c>
      <c r="E92" s="29" t="s">
        <v>883</v>
      </c>
      <c r="F92" s="28" t="s">
        <v>159</v>
      </c>
      <c r="G92" s="26" t="s">
        <v>18</v>
      </c>
      <c r="I92" s="26">
        <v>1000298</v>
      </c>
      <c r="J92" s="28" t="s">
        <v>15</v>
      </c>
      <c r="K92" s="26" t="s">
        <v>64</v>
      </c>
      <c r="L92" s="30">
        <v>370.0</v>
      </c>
      <c r="M92" s="30">
        <v>66.6</v>
      </c>
      <c r="N92" s="30">
        <v>436.6</v>
      </c>
      <c r="O92" s="31">
        <v>0</v>
      </c>
      <c r="P92" s="32">
        <f>N92-O92</f>
      </c>
      <c r="Q92" s="28" t="s">
        <v>65</v>
      </c>
      <c r="R92" s="28" t="s">
        <v>854</v>
      </c>
      <c r="U92" s="29" t="s">
        <v>884</v>
      </c>
    </row>
    <row r="93" customFormat="false" ht="15" hidden="false" customHeight="true" outlineLevel="0" collapsed="false">
      <c r="A93" s="26" t="s">
        <v>885</v>
      </c>
      <c r="B93" s="27">
        <v>46071</v>
      </c>
      <c r="C93" s="28" t="s">
        <v>886</v>
      </c>
      <c r="D93" s="28" t="s">
        <v>887</v>
      </c>
      <c r="E93" s="29" t="s">
        <v>888</v>
      </c>
      <c r="F93" s="28" t="s">
        <v>889</v>
      </c>
      <c r="G93" s="26" t="s">
        <v>18</v>
      </c>
      <c r="H93" s="26">
        <v>299</v>
      </c>
      <c r="I93" s="26">
        <v>1000299</v>
      </c>
      <c r="J93" s="28" t="s">
        <v>15</v>
      </c>
      <c r="K93" s="26" t="s">
        <v>64</v>
      </c>
      <c r="L93" s="30">
        <v>285.0</v>
      </c>
      <c r="M93" s="30">
        <v>51.3</v>
      </c>
      <c r="N93" s="30">
        <v>336.3</v>
      </c>
      <c r="O93" s="31">
        <v>0</v>
      </c>
      <c r="P93" s="32">
        <f>N93-O93</f>
      </c>
      <c r="Q93" s="28" t="s">
        <v>65</v>
      </c>
      <c r="R93" s="28" t="s">
        <v>854</v>
      </c>
      <c r="U93" s="29" t="s">
        <v>884</v>
      </c>
    </row>
    <row r="94" customFormat="false" ht="15" hidden="false" customHeight="true" outlineLevel="0" collapsed="false">
      <c r="A94" s="26" t="s">
        <v>890</v>
      </c>
      <c r="B94" s="27">
        <v>46074</v>
      </c>
      <c r="C94" s="28" t="s">
        <v>891</v>
      </c>
      <c r="D94" s="28" t="s">
        <v>892</v>
      </c>
      <c r="E94" s="29" t="s">
        <v>893</v>
      </c>
      <c r="F94" s="28" t="s">
        <v>894</v>
      </c>
      <c r="G94" s="26" t="s">
        <v>16</v>
      </c>
      <c r="I94" s="26">
        <v>400217</v>
      </c>
      <c r="J94" s="28" t="s">
        <v>17</v>
      </c>
      <c r="K94" s="26" t="s">
        <v>64</v>
      </c>
      <c r="L94" s="30">
        <v>423.73</v>
      </c>
      <c r="M94" s="30">
        <v>76.27</v>
      </c>
      <c r="N94" s="30">
        <v>500.0</v>
      </c>
      <c r="O94" s="31">
        <v>500.0</v>
      </c>
      <c r="P94" s="32">
        <f>N94-O94</f>
      </c>
      <c r="Q94" s="28" t="s">
        <v>50</v>
      </c>
      <c r="R94" s="28" t="s">
        <v>209</v>
      </c>
      <c r="U94" s="29" t="s">
        <v>895</v>
      </c>
    </row>
    <row r="95" customFormat="false" ht="15" hidden="false" customHeight="true" outlineLevel="0" collapsed="false">
      <c r="A95" s="26" t="s">
        <v>896</v>
      </c>
      <c r="B95" s="27">
        <v>46074</v>
      </c>
      <c r="C95" s="28" t="s">
        <v>897</v>
      </c>
      <c r="D95" s="28" t="s">
        <v>898</v>
      </c>
      <c r="E95" s="29" t="s">
        <v>899</v>
      </c>
      <c r="F95" s="28" t="s">
        <v>203</v>
      </c>
      <c r="G95" s="26" t="s">
        <v>14</v>
      </c>
      <c r="H95" s="26">
        <v>317</v>
      </c>
      <c r="J95" s="28" t="s">
        <v>15</v>
      </c>
      <c r="K95" s="26" t="s">
        <v>49</v>
      </c>
      <c r="L95" s="30">
        <v>467.5</v>
      </c>
      <c r="M95" s="30">
        <v>84.15</v>
      </c>
      <c r="N95" s="30">
        <v>551.65</v>
      </c>
      <c r="O95" s="31">
        <v>0</v>
      </c>
      <c r="P95" s="32">
        <f>N95-O95</f>
      </c>
      <c r="Q95" s="28" t="s">
        <v>50</v>
      </c>
      <c r="R95" s="28" t="s">
        <v>51</v>
      </c>
      <c r="U95" s="29" t="s">
        <v>863</v>
      </c>
    </row>
    <row r="96" customFormat="false" ht="15" hidden="false" customHeight="true" outlineLevel="0" collapsed="false">
      <c r="A96" s="26" t="s">
        <v>910</v>
      </c>
      <c r="B96" s="27">
        <v>46074</v>
      </c>
      <c r="C96" s="28" t="s">
        <v>915</v>
      </c>
      <c r="D96" s="28" t="s">
        <v>69</v>
      </c>
      <c r="E96" s="29" t="s">
        <v>916</v>
      </c>
      <c r="F96" s="28" t="s">
        <v>215</v>
      </c>
      <c r="G96" s="26" t="s">
        <v>14</v>
      </c>
      <c r="H96" s="26">
        <v>318</v>
      </c>
      <c r="I96" s="35"/>
      <c r="J96" s="28" t="s">
        <v>15</v>
      </c>
      <c r="K96" s="26" t="s">
        <v>49</v>
      </c>
      <c r="L96" s="30">
        <v>387.5</v>
      </c>
      <c r="M96" s="30">
        <v>69.75</v>
      </c>
      <c r="N96" s="30">
        <v>457.25</v>
      </c>
      <c r="O96" s="31">
        <v>0</v>
      </c>
      <c r="P96" s="32">
        <f aca="false">N96-O96</f>
      </c>
      <c r="Q96" s="28" t="s">
        <v>50</v>
      </c>
      <c r="R96" s="28" t="s">
        <v>51</v>
      </c>
      <c r="U96" s="29" t="s">
        <v>919</v>
      </c>
    </row>
    <row r="97" customFormat="false" ht="15" hidden="false" customHeight="true" outlineLevel="0" collapsed="false">
      <c r="A97" s="26" t="s">
        <v>911</v>
      </c>
      <c r="B97" s="27">
        <v>46078</v>
      </c>
      <c r="C97" s="28" t="s">
        <v>200</v>
      </c>
      <c r="D97" s="28" t="s">
        <v>920</v>
      </c>
      <c r="E97" s="29" t="s">
        <v>921</v>
      </c>
      <c r="F97" s="28" t="s">
        <v>159</v>
      </c>
      <c r="G97" s="26" t="s">
        <v>18</v>
      </c>
      <c r="H97" s="35"/>
      <c r="I97" s="26" t="s">
        <v>952</v>
      </c>
      <c r="J97" s="28" t="s">
        <v>15</v>
      </c>
      <c r="K97" s="26" t="s">
        <v>64</v>
      </c>
      <c r="L97" s="30">
        <v>13609.16</v>
      </c>
      <c r="M97" s="30">
        <v>2449.65</v>
      </c>
      <c r="N97" s="30">
        <v>16058.81</v>
      </c>
      <c r="O97" s="31">
        <v>16058.81</v>
      </c>
      <c r="P97" s="32">
        <f aca="false">N97-O97</f>
      </c>
      <c r="Q97" s="28" t="s">
        <v>65</v>
      </c>
      <c r="R97" s="28" t="s">
        <v>854</v>
      </c>
      <c r="U97" s="29" t="s">
        <v>884</v>
      </c>
    </row>
    <row r="98" customFormat="false" ht="15" hidden="false" customHeight="true" outlineLevel="0" collapsed="false">
      <c r="A98" s="26" t="s">
        <v>912</v>
      </c>
      <c r="B98" s="27">
        <v>46076</v>
      </c>
      <c r="C98" s="28" t="s">
        <v>922</v>
      </c>
      <c r="D98" s="28" t="s">
        <v>163</v>
      </c>
      <c r="E98" s="29" t="s">
        <v>923</v>
      </c>
      <c r="F98" s="28" t="s">
        <v>924</v>
      </c>
      <c r="G98" s="26" t="s">
        <v>14</v>
      </c>
      <c r="H98" s="26">
        <v>323</v>
      </c>
      <c r="I98" s="35"/>
      <c r="J98" s="28" t="s">
        <v>15</v>
      </c>
      <c r="K98" s="26" t="s">
        <v>49</v>
      </c>
      <c r="L98" s="30">
        <v>20986.2</v>
      </c>
      <c r="M98" s="30">
        <v>3777.52</v>
      </c>
      <c r="N98" s="30">
        <v>24763.72</v>
      </c>
      <c r="O98" s="31">
        <v>0</v>
      </c>
      <c r="P98" s="32">
        <f aca="false">N98-O98</f>
      </c>
      <c r="Q98" s="28" t="s">
        <v>50</v>
      </c>
      <c r="R98" s="28" t="s">
        <v>51</v>
      </c>
      <c r="U98" s="29" t="s">
        <v>863</v>
      </c>
    </row>
    <row r="99" customFormat="false" ht="15" hidden="false" customHeight="true" outlineLevel="0" collapsed="false">
      <c r="A99" s="26" t="s">
        <v>913</v>
      </c>
      <c r="B99" s="27">
        <v>46079</v>
      </c>
      <c r="C99" s="28" t="s">
        <v>925</v>
      </c>
      <c r="D99" s="28" t="s">
        <v>926</v>
      </c>
      <c r="E99" s="29" t="s">
        <v>927</v>
      </c>
      <c r="F99" s="28" t="s">
        <v>928</v>
      </c>
      <c r="G99" s="26" t="s">
        <v>14</v>
      </c>
      <c r="H99" s="26">
        <v>324</v>
      </c>
      <c r="I99" s="35"/>
      <c r="J99" s="28" t="s">
        <v>17</v>
      </c>
      <c r="K99" s="26" t="s">
        <v>49</v>
      </c>
      <c r="L99" s="30">
        <v>4300.0</v>
      </c>
      <c r="M99" s="30">
        <v>774.0</v>
      </c>
      <c r="N99" s="30">
        <v>5074.0</v>
      </c>
      <c r="O99" s="31">
        <v>0</v>
      </c>
      <c r="P99" s="32">
        <f aca="false">N99-O99</f>
      </c>
      <c r="Q99" s="28" t="s">
        <v>50</v>
      </c>
      <c r="R99" s="28" t="s">
        <v>51</v>
      </c>
      <c r="U99" s="29" t="s">
        <v>863</v>
      </c>
    </row>
    <row r="100" customFormat="false" ht="15" hidden="false" customHeight="true" outlineLevel="0" collapsed="false">
      <c r="A100" s="26" t="s">
        <v>914</v>
      </c>
      <c r="B100" s="27">
        <v>46079</v>
      </c>
      <c r="C100" s="28" t="s">
        <v>925</v>
      </c>
      <c r="D100" s="28" t="s">
        <v>926</v>
      </c>
      <c r="E100" s="29" t="s">
        <v>929</v>
      </c>
      <c r="F100" s="28" t="s">
        <v>930</v>
      </c>
      <c r="G100" s="26" t="s">
        <v>14</v>
      </c>
      <c r="H100" s="26">
        <v>325</v>
      </c>
      <c r="I100" s="35"/>
      <c r="J100" s="28" t="s">
        <v>17</v>
      </c>
      <c r="K100" s="26" t="s">
        <v>49</v>
      </c>
      <c r="L100" s="30">
        <v>6680.0</v>
      </c>
      <c r="M100" s="30">
        <v>1202.4</v>
      </c>
      <c r="N100" s="30">
        <v>7882.4</v>
      </c>
      <c r="O100" s="31">
        <v>0</v>
      </c>
      <c r="P100" s="32">
        <f aca="false">N100-O100</f>
      </c>
      <c r="Q100" s="28" t="s">
        <v>50</v>
      </c>
      <c r="R100" s="28" t="s">
        <v>51</v>
      </c>
      <c r="U100" s="29" t="s">
        <v>931</v>
      </c>
    </row>
    <row r="101" customFormat="false" ht="15" hidden="false" customHeight="true" outlineLevel="0" collapsed="false">
      <c r="A101" s="35"/>
      <c r="B101" s="36"/>
      <c r="C101" s="35"/>
      <c r="D101" s="35"/>
      <c r="E101" s="35"/>
      <c r="F101" s="35"/>
      <c r="G101" s="35"/>
      <c r="H101" s="35"/>
      <c r="I101" s="35"/>
      <c r="J101" s="35"/>
      <c r="K101" s="35"/>
      <c r="L101" s="11"/>
      <c r="M101" s="11"/>
      <c r="N101" s="11"/>
      <c r="O101" s="37"/>
      <c r="P101" s="38" t="n">
        <f aca="false">N101-O101</f>
        <v>0</v>
      </c>
      <c r="Q101" s="35"/>
      <c r="R101" s="35"/>
      <c r="S101" s="39"/>
      <c r="T101" s="40"/>
      <c r="U101" s="35"/>
    </row>
    <row r="102" customFormat="false" ht="15" hidden="false" customHeight="true" outlineLevel="0" collapsed="false">
      <c r="A102" s="35"/>
      <c r="B102" s="36"/>
      <c r="C102" s="35"/>
      <c r="D102" s="35"/>
      <c r="E102" s="35"/>
      <c r="F102" s="35"/>
      <c r="G102" s="35"/>
      <c r="H102" s="35"/>
      <c r="I102" s="35"/>
      <c r="J102" s="35"/>
      <c r="K102" s="35"/>
      <c r="L102" s="11"/>
      <c r="M102" s="11"/>
      <c r="N102" s="11"/>
      <c r="O102" s="37"/>
      <c r="P102" s="38" t="n">
        <f aca="false">N102-O102</f>
        <v>0</v>
      </c>
      <c r="Q102" s="35"/>
      <c r="R102" s="35"/>
      <c r="S102" s="39"/>
      <c r="T102" s="40"/>
      <c r="U102" s="35"/>
    </row>
    <row r="103" customFormat="false" ht="15" hidden="false" customHeight="true" outlineLevel="0" collapsed="false">
      <c r="A103" s="35"/>
      <c r="B103" s="36"/>
      <c r="C103" s="35"/>
      <c r="D103" s="35"/>
      <c r="E103" s="35"/>
      <c r="F103" s="35"/>
      <c r="G103" s="35"/>
      <c r="H103" s="35"/>
      <c r="I103" s="35"/>
      <c r="J103" s="35"/>
      <c r="K103" s="35"/>
      <c r="L103" s="11"/>
      <c r="M103" s="11"/>
      <c r="N103" s="11"/>
      <c r="O103" s="37"/>
      <c r="P103" s="38" t="n">
        <f aca="false">N103-O103</f>
        <v>0</v>
      </c>
      <c r="Q103" s="35"/>
      <c r="R103" s="35"/>
      <c r="S103" s="39"/>
      <c r="T103" s="40"/>
      <c r="U103" s="35"/>
    </row>
    <row r="104" customFormat="false" ht="15" hidden="false" customHeight="true" outlineLevel="0" collapsed="false">
      <c r="A104" s="35"/>
      <c r="B104" s="36"/>
      <c r="C104" s="35"/>
      <c r="D104" s="35"/>
      <c r="E104" s="35"/>
      <c r="F104" s="35"/>
      <c r="G104" s="35"/>
      <c r="H104" s="35"/>
      <c r="I104" s="35"/>
      <c r="J104" s="35"/>
      <c r="K104" s="35"/>
      <c r="L104" s="11"/>
      <c r="M104" s="11"/>
      <c r="N104" s="11"/>
      <c r="O104" s="37"/>
      <c r="P104" s="38" t="n">
        <f aca="false">N104-O104</f>
        <v>0</v>
      </c>
      <c r="Q104" s="35"/>
      <c r="R104" s="35"/>
      <c r="S104" s="39"/>
      <c r="T104" s="40"/>
      <c r="U104" s="35"/>
    </row>
    <row r="105" customFormat="false" ht="15" hidden="false" customHeight="true" outlineLevel="0" collapsed="false">
      <c r="A105" s="35"/>
      <c r="B105" s="36"/>
      <c r="C105" s="35"/>
      <c r="D105" s="35"/>
      <c r="E105" s="35"/>
      <c r="F105" s="35"/>
      <c r="G105" s="35"/>
      <c r="H105" s="35"/>
      <c r="I105" s="35"/>
      <c r="J105" s="35"/>
      <c r="K105" s="35"/>
      <c r="L105" s="11"/>
      <c r="M105" s="11"/>
      <c r="N105" s="11"/>
      <c r="O105" s="37"/>
      <c r="P105" s="38" t="n">
        <f aca="false">N105-O105</f>
        <v>0</v>
      </c>
      <c r="Q105" s="35"/>
      <c r="R105" s="35"/>
      <c r="S105" s="39"/>
      <c r="T105" s="40"/>
      <c r="U105" s="35"/>
    </row>
    <row r="106" customFormat="false" ht="15" hidden="false" customHeight="true" outlineLevel="0" collapsed="false">
      <c r="A106" s="35"/>
      <c r="B106" s="36"/>
      <c r="C106" s="35"/>
      <c r="D106" s="35"/>
      <c r="E106" s="35"/>
      <c r="F106" s="35"/>
      <c r="G106" s="35"/>
      <c r="H106" s="35"/>
      <c r="I106" s="35"/>
      <c r="J106" s="35"/>
      <c r="K106" s="35"/>
      <c r="L106" s="11"/>
      <c r="M106" s="11"/>
      <c r="N106" s="11"/>
      <c r="O106" s="37"/>
      <c r="P106" s="38" t="n">
        <f aca="false">N106-O106</f>
        <v>0</v>
      </c>
      <c r="Q106" s="35"/>
      <c r="R106" s="35"/>
      <c r="S106" s="39"/>
      <c r="T106" s="40"/>
      <c r="U106" s="35"/>
    </row>
    <row r="107" customFormat="false" ht="15" hidden="false" customHeight="true" outlineLevel="0" collapsed="false">
      <c r="A107" s="35"/>
      <c r="B107" s="36"/>
      <c r="C107" s="35"/>
      <c r="D107" s="35"/>
      <c r="E107" s="35"/>
      <c r="F107" s="35"/>
      <c r="G107" s="35"/>
      <c r="H107" s="35"/>
      <c r="I107" s="35"/>
      <c r="J107" s="35"/>
      <c r="K107" s="35"/>
      <c r="L107" s="11"/>
      <c r="M107" s="11"/>
      <c r="N107" s="11"/>
      <c r="O107" s="37"/>
      <c r="P107" s="38" t="n">
        <f aca="false">N107-O107</f>
        <v>0</v>
      </c>
      <c r="Q107" s="35"/>
      <c r="R107" s="35"/>
      <c r="S107" s="39"/>
      <c r="T107" s="40"/>
      <c r="U107" s="35"/>
    </row>
    <row r="108" customFormat="false" ht="15" hidden="false" customHeight="true" outlineLevel="0" collapsed="false">
      <c r="A108" s="35"/>
      <c r="B108" s="36"/>
      <c r="C108" s="35"/>
      <c r="D108" s="35"/>
      <c r="E108" s="35"/>
      <c r="F108" s="35"/>
      <c r="G108" s="35"/>
      <c r="H108" s="35"/>
      <c r="I108" s="35"/>
      <c r="J108" s="35"/>
      <c r="K108" s="35"/>
      <c r="L108" s="11"/>
      <c r="M108" s="11"/>
      <c r="N108" s="11"/>
      <c r="O108" s="37"/>
      <c r="P108" s="38" t="n">
        <f aca="false">N108-O108</f>
        <v>0</v>
      </c>
      <c r="Q108" s="35"/>
      <c r="R108" s="35"/>
      <c r="S108" s="39"/>
      <c r="T108" s="40"/>
      <c r="U108" s="35"/>
    </row>
    <row r="109" customFormat="false" ht="15" hidden="false" customHeight="true" outlineLevel="0" collapsed="false">
      <c r="A109" s="35"/>
      <c r="B109" s="36"/>
      <c r="C109" s="35"/>
      <c r="D109" s="35"/>
      <c r="E109" s="35"/>
      <c r="F109" s="35"/>
      <c r="G109" s="35"/>
      <c r="H109" s="35"/>
      <c r="I109" s="35"/>
      <c r="J109" s="35"/>
      <c r="K109" s="35"/>
      <c r="L109" s="11"/>
      <c r="M109" s="11"/>
      <c r="N109" s="11"/>
      <c r="O109" s="37"/>
      <c r="P109" s="38" t="n">
        <f aca="false">N109-O109</f>
        <v>0</v>
      </c>
      <c r="Q109" s="35"/>
      <c r="R109" s="35"/>
      <c r="S109" s="39"/>
      <c r="T109" s="40"/>
      <c r="U109" s="35"/>
    </row>
    <row r="110" customFormat="false" ht="15" hidden="false" customHeight="true" outlineLevel="0" collapsed="false">
      <c r="A110" s="35"/>
      <c r="B110" s="36"/>
      <c r="C110" s="35"/>
      <c r="D110" s="35"/>
      <c r="E110" s="35"/>
      <c r="F110" s="35"/>
      <c r="G110" s="35"/>
      <c r="H110" s="35"/>
      <c r="I110" s="35"/>
      <c r="J110" s="35"/>
      <c r="K110" s="35"/>
      <c r="L110" s="11"/>
      <c r="M110" s="11"/>
      <c r="N110" s="11"/>
      <c r="O110" s="37"/>
      <c r="P110" s="38" t="n">
        <f aca="false">N110-O110</f>
        <v>0</v>
      </c>
      <c r="Q110" s="35"/>
      <c r="R110" s="35"/>
      <c r="S110" s="39"/>
      <c r="T110" s="40"/>
      <c r="U110" s="35"/>
    </row>
    <row r="111" customFormat="false" ht="15" hidden="false" customHeight="true" outlineLevel="0" collapsed="false">
      <c r="A111" s="35"/>
      <c r="B111" s="36"/>
      <c r="C111" s="35"/>
      <c r="D111" s="35"/>
      <c r="E111" s="35"/>
      <c r="F111" s="35"/>
      <c r="G111" s="35"/>
      <c r="H111" s="35"/>
      <c r="I111" s="35"/>
      <c r="J111" s="35"/>
      <c r="K111" s="35"/>
      <c r="L111" s="11"/>
      <c r="M111" s="11"/>
      <c r="N111" s="11"/>
      <c r="O111" s="37"/>
      <c r="P111" s="38" t="n">
        <f aca="false">N111-O111</f>
        <v>0</v>
      </c>
      <c r="Q111" s="35"/>
      <c r="R111" s="35"/>
      <c r="S111" s="39"/>
      <c r="T111" s="40"/>
      <c r="U111" s="35"/>
    </row>
    <row r="112" customFormat="false" ht="15" hidden="false" customHeight="true" outlineLevel="0" collapsed="false">
      <c r="A112" s="35"/>
      <c r="B112" s="36"/>
      <c r="C112" s="35"/>
      <c r="D112" s="35"/>
      <c r="E112" s="35"/>
      <c r="F112" s="35"/>
      <c r="G112" s="35"/>
      <c r="H112" s="35"/>
      <c r="I112" s="35"/>
      <c r="J112" s="35"/>
      <c r="K112" s="35"/>
      <c r="L112" s="11"/>
      <c r="M112" s="11"/>
      <c r="N112" s="11"/>
      <c r="O112" s="37"/>
      <c r="P112" s="38" t="n">
        <f aca="false">N112-O112</f>
        <v>0</v>
      </c>
      <c r="Q112" s="35"/>
      <c r="R112" s="35"/>
      <c r="S112" s="39"/>
      <c r="T112" s="40"/>
      <c r="U112" s="35"/>
    </row>
    <row r="113" customFormat="false" ht="15" hidden="false" customHeight="true" outlineLevel="0" collapsed="false">
      <c r="A113" s="35"/>
      <c r="B113" s="36"/>
      <c r="C113" s="35"/>
      <c r="D113" s="35"/>
      <c r="E113" s="35"/>
      <c r="F113" s="35"/>
      <c r="G113" s="35"/>
      <c r="H113" s="35"/>
      <c r="I113" s="35"/>
      <c r="J113" s="35"/>
      <c r="K113" s="35"/>
      <c r="L113" s="11"/>
      <c r="M113" s="11"/>
      <c r="N113" s="11"/>
      <c r="O113" s="37"/>
      <c r="P113" s="38" t="n">
        <f aca="false">N113-O113</f>
        <v>0</v>
      </c>
      <c r="Q113" s="35"/>
      <c r="R113" s="35"/>
      <c r="S113" s="39"/>
      <c r="T113" s="40"/>
      <c r="U113" s="35"/>
    </row>
    <row r="114" customFormat="false" ht="15" hidden="false" customHeight="true" outlineLevel="0" collapsed="false">
      <c r="A114" s="35"/>
      <c r="B114" s="36"/>
      <c r="C114" s="35"/>
      <c r="D114" s="35"/>
      <c r="E114" s="35"/>
      <c r="F114" s="35"/>
      <c r="G114" s="35"/>
      <c r="H114" s="35"/>
      <c r="I114" s="35"/>
      <c r="J114" s="35"/>
      <c r="K114" s="35"/>
      <c r="L114" s="11"/>
      <c r="M114" s="11"/>
      <c r="N114" s="11"/>
      <c r="O114" s="37"/>
      <c r="P114" s="38" t="n">
        <f aca="false">N114-O114</f>
        <v>0</v>
      </c>
      <c r="Q114" s="35"/>
      <c r="R114" s="35"/>
      <c r="S114" s="39"/>
      <c r="T114" s="40"/>
      <c r="U114" s="35"/>
    </row>
    <row r="115" customFormat="false" ht="15" hidden="false" customHeight="true" outlineLevel="0" collapsed="false">
      <c r="A115" s="35"/>
      <c r="B115" s="36"/>
      <c r="C115" s="35"/>
      <c r="D115" s="35"/>
      <c r="E115" s="35"/>
      <c r="F115" s="35"/>
      <c r="G115" s="35"/>
      <c r="H115" s="35"/>
      <c r="I115" s="35"/>
      <c r="J115" s="35"/>
      <c r="K115" s="35"/>
      <c r="L115" s="11"/>
      <c r="M115" s="11"/>
      <c r="N115" s="11"/>
      <c r="O115" s="37"/>
      <c r="P115" s="38" t="n">
        <f aca="false">N115-O115</f>
        <v>0</v>
      </c>
      <c r="Q115" s="35"/>
      <c r="R115" s="35"/>
      <c r="S115" s="39"/>
      <c r="T115" s="40"/>
      <c r="U115" s="35"/>
    </row>
    <row r="116" customFormat="false" ht="15" hidden="false" customHeight="true" outlineLevel="0" collapsed="false">
      <c r="A116" s="35"/>
      <c r="B116" s="36"/>
      <c r="C116" s="35"/>
      <c r="D116" s="35"/>
      <c r="E116" s="35"/>
      <c r="F116" s="35"/>
      <c r="G116" s="35"/>
      <c r="H116" s="35"/>
      <c r="I116" s="35"/>
      <c r="J116" s="35"/>
      <c r="K116" s="35"/>
      <c r="L116" s="11"/>
      <c r="M116" s="11"/>
      <c r="N116" s="11"/>
      <c r="O116" s="37"/>
      <c r="P116" s="38" t="n">
        <f aca="false">N116-O116</f>
        <v>0</v>
      </c>
      <c r="Q116" s="35"/>
      <c r="R116" s="35"/>
      <c r="S116" s="39"/>
      <c r="T116" s="40"/>
      <c r="U116" s="35"/>
    </row>
    <row r="117" customFormat="false" ht="15" hidden="false" customHeight="true" outlineLevel="0" collapsed="false">
      <c r="A117" s="35"/>
      <c r="B117" s="36"/>
      <c r="C117" s="35"/>
      <c r="D117" s="35"/>
      <c r="E117" s="35"/>
      <c r="F117" s="35"/>
      <c r="G117" s="35"/>
      <c r="H117" s="35"/>
      <c r="I117" s="35"/>
      <c r="J117" s="35"/>
      <c r="K117" s="35"/>
      <c r="L117" s="11"/>
      <c r="M117" s="11"/>
      <c r="N117" s="11"/>
      <c r="O117" s="37"/>
      <c r="P117" s="38" t="n">
        <f aca="false">N117-O117</f>
        <v>0</v>
      </c>
      <c r="Q117" s="35"/>
      <c r="R117" s="35"/>
      <c r="S117" s="39"/>
      <c r="T117" s="40"/>
      <c r="U117" s="35"/>
    </row>
    <row r="118" customFormat="false" ht="15" hidden="false" customHeight="true" outlineLevel="0" collapsed="false">
      <c r="A118" s="35"/>
      <c r="B118" s="36"/>
      <c r="C118" s="35"/>
      <c r="D118" s="35"/>
      <c r="E118" s="35"/>
      <c r="F118" s="35"/>
      <c r="G118" s="35"/>
      <c r="H118" s="35"/>
      <c r="I118" s="35"/>
      <c r="J118" s="35"/>
      <c r="K118" s="35"/>
      <c r="L118" s="11"/>
      <c r="M118" s="11"/>
      <c r="N118" s="11"/>
      <c r="O118" s="37"/>
      <c r="P118" s="38" t="n">
        <f aca="false">N118-O118</f>
        <v>0</v>
      </c>
      <c r="Q118" s="35"/>
      <c r="R118" s="35"/>
      <c r="S118" s="39"/>
      <c r="T118" s="40"/>
      <c r="U118" s="35"/>
    </row>
    <row r="119" customFormat="false" ht="15" hidden="false" customHeight="true" outlineLevel="0" collapsed="false">
      <c r="A119" s="35"/>
      <c r="B119" s="36"/>
      <c r="C119" s="35"/>
      <c r="D119" s="35"/>
      <c r="E119" s="35"/>
      <c r="F119" s="35"/>
      <c r="G119" s="35"/>
      <c r="H119" s="35"/>
      <c r="I119" s="35"/>
      <c r="J119" s="35"/>
      <c r="K119" s="35"/>
      <c r="L119" s="11"/>
      <c r="M119" s="11"/>
      <c r="N119" s="11"/>
      <c r="O119" s="37"/>
      <c r="P119" s="38" t="n">
        <f aca="false">N119-O119</f>
        <v>0</v>
      </c>
      <c r="Q119" s="35"/>
      <c r="R119" s="35"/>
      <c r="S119" s="39"/>
      <c r="T119" s="40"/>
      <c r="U119" s="35"/>
    </row>
    <row r="120" customFormat="false" ht="15" hidden="false" customHeight="true" outlineLevel="0" collapsed="false">
      <c r="A120" s="35"/>
      <c r="B120" s="36"/>
      <c r="C120" s="35"/>
      <c r="D120" s="35"/>
      <c r="E120" s="35"/>
      <c r="F120" s="35"/>
      <c r="G120" s="35"/>
      <c r="H120" s="35"/>
      <c r="I120" s="35"/>
      <c r="J120" s="35"/>
      <c r="K120" s="35"/>
      <c r="L120" s="11"/>
      <c r="M120" s="11"/>
      <c r="N120" s="11"/>
      <c r="O120" s="37"/>
      <c r="P120" s="38" t="n">
        <f aca="false">N120-O120</f>
        <v>0</v>
      </c>
      <c r="Q120" s="35"/>
      <c r="R120" s="35"/>
      <c r="S120" s="39"/>
      <c r="T120" s="40"/>
      <c r="U120" s="35"/>
    </row>
    <row r="121" customFormat="false" ht="15" hidden="false" customHeight="true" outlineLevel="0" collapsed="false">
      <c r="A121" s="35"/>
      <c r="B121" s="36"/>
      <c r="C121" s="35"/>
      <c r="D121" s="35"/>
      <c r="E121" s="35"/>
      <c r="F121" s="35"/>
      <c r="G121" s="35"/>
      <c r="H121" s="35"/>
      <c r="I121" s="35"/>
      <c r="J121" s="35"/>
      <c r="K121" s="35"/>
      <c r="L121" s="11"/>
      <c r="M121" s="11"/>
      <c r="N121" s="11"/>
      <c r="O121" s="37"/>
      <c r="P121" s="38" t="n">
        <f aca="false">N121-O121</f>
        <v>0</v>
      </c>
      <c r="Q121" s="35"/>
      <c r="R121" s="35"/>
      <c r="S121" s="39"/>
      <c r="T121" s="40"/>
      <c r="U121" s="35"/>
    </row>
    <row r="122" customFormat="false" ht="15" hidden="false" customHeight="true" outlineLevel="0" collapsed="false">
      <c r="A122" s="35"/>
      <c r="B122" s="36"/>
      <c r="C122" s="35"/>
      <c r="D122" s="35"/>
      <c r="E122" s="35"/>
      <c r="F122" s="35"/>
      <c r="G122" s="35"/>
      <c r="H122" s="35"/>
      <c r="I122" s="35"/>
      <c r="J122" s="35"/>
      <c r="K122" s="35"/>
      <c r="L122" s="11"/>
      <c r="M122" s="11"/>
      <c r="N122" s="11"/>
      <c r="O122" s="37"/>
      <c r="P122" s="38" t="n">
        <f aca="false">N122-O122</f>
        <v>0</v>
      </c>
      <c r="Q122" s="35"/>
      <c r="R122" s="35"/>
      <c r="S122" s="39"/>
      <c r="T122" s="40"/>
      <c r="U122" s="35"/>
    </row>
    <row r="123" customFormat="false" ht="15" hidden="false" customHeight="true" outlineLevel="0" collapsed="false">
      <c r="A123" s="35"/>
      <c r="B123" s="36"/>
      <c r="C123" s="35"/>
      <c r="D123" s="35"/>
      <c r="E123" s="35"/>
      <c r="F123" s="35"/>
      <c r="G123" s="35"/>
      <c r="H123" s="35"/>
      <c r="I123" s="35"/>
      <c r="J123" s="35"/>
      <c r="K123" s="35"/>
      <c r="L123" s="11"/>
      <c r="M123" s="11"/>
      <c r="N123" s="11"/>
      <c r="O123" s="37"/>
      <c r="P123" s="38" t="n">
        <f aca="false">N123-O123</f>
        <v>0</v>
      </c>
      <c r="Q123" s="35"/>
      <c r="R123" s="35"/>
      <c r="S123" s="39"/>
      <c r="T123" s="40"/>
      <c r="U123" s="35"/>
    </row>
    <row r="124" customFormat="false" ht="15" hidden="false" customHeight="true" outlineLevel="0" collapsed="false">
      <c r="A124" s="35"/>
      <c r="B124" s="36"/>
      <c r="C124" s="35"/>
      <c r="D124" s="35"/>
      <c r="E124" s="35"/>
      <c r="F124" s="35"/>
      <c r="G124" s="35"/>
      <c r="H124" s="35"/>
      <c r="I124" s="35"/>
      <c r="J124" s="35"/>
      <c r="K124" s="35"/>
      <c r="L124" s="11"/>
      <c r="M124" s="11"/>
      <c r="N124" s="11"/>
      <c r="O124" s="37"/>
      <c r="P124" s="38" t="n">
        <f aca="false">N124-O124</f>
        <v>0</v>
      </c>
      <c r="Q124" s="35"/>
      <c r="R124" s="35"/>
      <c r="S124" s="39"/>
      <c r="T124" s="40"/>
      <c r="U124" s="35"/>
    </row>
    <row r="125" customFormat="false" ht="15" hidden="false" customHeight="true" outlineLevel="0" collapsed="false">
      <c r="A125" s="35"/>
      <c r="B125" s="36"/>
      <c r="C125" s="35"/>
      <c r="D125" s="35"/>
      <c r="E125" s="35"/>
      <c r="F125" s="35"/>
      <c r="G125" s="35"/>
      <c r="H125" s="35"/>
      <c r="I125" s="35"/>
      <c r="J125" s="35"/>
      <c r="K125" s="35"/>
      <c r="L125" s="11"/>
      <c r="M125" s="11"/>
      <c r="N125" s="11"/>
      <c r="O125" s="37"/>
      <c r="P125" s="38" t="n">
        <f aca="false">N125-O125</f>
        <v>0</v>
      </c>
      <c r="Q125" s="35"/>
      <c r="R125" s="35"/>
      <c r="S125" s="39"/>
      <c r="T125" s="40"/>
      <c r="U125" s="35"/>
    </row>
    <row r="126" customFormat="false" ht="15" hidden="false" customHeight="true" outlineLevel="0" collapsed="false">
      <c r="A126" s="35"/>
      <c r="B126" s="36"/>
      <c r="C126" s="35"/>
      <c r="D126" s="35"/>
      <c r="E126" s="35"/>
      <c r="F126" s="35"/>
      <c r="G126" s="35"/>
      <c r="H126" s="35"/>
      <c r="I126" s="35"/>
      <c r="J126" s="35"/>
      <c r="K126" s="35"/>
      <c r="L126" s="11"/>
      <c r="M126" s="11"/>
      <c r="N126" s="11"/>
      <c r="O126" s="37"/>
      <c r="P126" s="38" t="n">
        <f aca="false">N126-O126</f>
        <v>0</v>
      </c>
      <c r="Q126" s="35"/>
      <c r="R126" s="35"/>
      <c r="S126" s="39"/>
      <c r="T126" s="40"/>
      <c r="U126" s="35"/>
    </row>
    <row r="127" customFormat="false" ht="15" hidden="false" customHeight="true" outlineLevel="0" collapsed="false">
      <c r="A127" s="35"/>
      <c r="B127" s="36"/>
      <c r="C127" s="35"/>
      <c r="D127" s="35"/>
      <c r="E127" s="35"/>
      <c r="F127" s="35"/>
      <c r="G127" s="35"/>
      <c r="H127" s="35"/>
      <c r="I127" s="35"/>
      <c r="J127" s="35"/>
      <c r="K127" s="35"/>
      <c r="L127" s="11"/>
      <c r="M127" s="11"/>
      <c r="N127" s="11"/>
      <c r="O127" s="37"/>
      <c r="P127" s="38" t="n">
        <f aca="false">N127-O127</f>
        <v>0</v>
      </c>
      <c r="Q127" s="35"/>
      <c r="R127" s="35"/>
      <c r="S127" s="39"/>
      <c r="T127" s="40"/>
      <c r="U127" s="35"/>
    </row>
    <row r="128" customFormat="false" ht="15" hidden="false" customHeight="true" outlineLevel="0" collapsed="false">
      <c r="A128" s="35"/>
      <c r="B128" s="36"/>
      <c r="C128" s="35"/>
      <c r="D128" s="35"/>
      <c r="E128" s="35"/>
      <c r="F128" s="35"/>
      <c r="G128" s="35"/>
      <c r="H128" s="35"/>
      <c r="I128" s="35"/>
      <c r="J128" s="35"/>
      <c r="K128" s="35"/>
      <c r="L128" s="11"/>
      <c r="M128" s="11"/>
      <c r="N128" s="11"/>
      <c r="O128" s="37"/>
      <c r="P128" s="38" t="n">
        <f aca="false">N128-O128</f>
        <v>0</v>
      </c>
      <c r="Q128" s="35"/>
      <c r="R128" s="35"/>
      <c r="S128" s="39"/>
      <c r="T128" s="40"/>
      <c r="U128" s="35"/>
    </row>
    <row r="129" customFormat="false" ht="15" hidden="false" customHeight="true" outlineLevel="0" collapsed="false">
      <c r="A129" s="35"/>
      <c r="B129" s="36"/>
      <c r="C129" s="35"/>
      <c r="D129" s="35"/>
      <c r="E129" s="35"/>
      <c r="F129" s="35"/>
      <c r="G129" s="35"/>
      <c r="H129" s="35"/>
      <c r="I129" s="35"/>
      <c r="J129" s="35"/>
      <c r="K129" s="35"/>
      <c r="L129" s="11"/>
      <c r="M129" s="11"/>
      <c r="N129" s="11"/>
      <c r="O129" s="37"/>
      <c r="P129" s="38" t="n">
        <f aca="false">N129-O129</f>
        <v>0</v>
      </c>
      <c r="Q129" s="35"/>
      <c r="R129" s="35"/>
      <c r="S129" s="39"/>
      <c r="T129" s="40"/>
      <c r="U129" s="35"/>
    </row>
    <row r="130" customFormat="false" ht="15" hidden="false" customHeight="true" outlineLevel="0" collapsed="false">
      <c r="A130" s="35"/>
      <c r="B130" s="36"/>
      <c r="C130" s="35"/>
      <c r="D130" s="35"/>
      <c r="E130" s="35"/>
      <c r="F130" s="35"/>
      <c r="G130" s="35"/>
      <c r="H130" s="35"/>
      <c r="I130" s="35"/>
      <c r="J130" s="35"/>
      <c r="K130" s="35"/>
      <c r="L130" s="11"/>
      <c r="M130" s="11"/>
      <c r="N130" s="11"/>
      <c r="O130" s="37"/>
      <c r="P130" s="38" t="n">
        <f aca="false">N130-O130</f>
        <v>0</v>
      </c>
      <c r="Q130" s="35"/>
      <c r="R130" s="35"/>
      <c r="S130" s="39"/>
      <c r="T130" s="40"/>
      <c r="U130" s="35"/>
    </row>
    <row r="131" customFormat="false" ht="15" hidden="false" customHeight="true" outlineLevel="0" collapsed="false">
      <c r="A131" s="35"/>
      <c r="B131" s="36"/>
      <c r="C131" s="35"/>
      <c r="D131" s="35"/>
      <c r="E131" s="35"/>
      <c r="F131" s="35"/>
      <c r="G131" s="35"/>
      <c r="H131" s="35"/>
      <c r="I131" s="35"/>
      <c r="J131" s="35"/>
      <c r="K131" s="35"/>
      <c r="L131" s="11"/>
      <c r="M131" s="11"/>
      <c r="N131" s="11"/>
      <c r="O131" s="37"/>
      <c r="P131" s="38" t="n">
        <f aca="false">N131-O131</f>
        <v>0</v>
      </c>
      <c r="Q131" s="35"/>
      <c r="R131" s="35"/>
      <c r="S131" s="39"/>
      <c r="T131" s="40"/>
      <c r="U131" s="35"/>
    </row>
    <row r="132" customFormat="false" ht="15" hidden="false" customHeight="true" outlineLevel="0" collapsed="false">
      <c r="A132" s="35"/>
      <c r="B132" s="36"/>
      <c r="C132" s="35"/>
      <c r="D132" s="35"/>
      <c r="E132" s="35"/>
      <c r="F132" s="35"/>
      <c r="G132" s="35"/>
      <c r="H132" s="35"/>
      <c r="I132" s="35"/>
      <c r="J132" s="35"/>
      <c r="K132" s="35"/>
      <c r="L132" s="11"/>
      <c r="M132" s="11"/>
      <c r="N132" s="11"/>
      <c r="O132" s="37"/>
      <c r="P132" s="38" t="n">
        <f aca="false">N132-O132</f>
        <v>0</v>
      </c>
      <c r="Q132" s="35"/>
      <c r="R132" s="35"/>
      <c r="S132" s="39"/>
      <c r="T132" s="40"/>
      <c r="U132" s="35"/>
    </row>
    <row r="133" customFormat="false" ht="15" hidden="false" customHeight="true" outlineLevel="0" collapsed="false">
      <c r="A133" s="35"/>
      <c r="B133" s="36"/>
      <c r="C133" s="35"/>
      <c r="D133" s="35"/>
      <c r="E133" s="35"/>
      <c r="F133" s="35"/>
      <c r="G133" s="35"/>
      <c r="H133" s="35"/>
      <c r="I133" s="35"/>
      <c r="J133" s="35"/>
      <c r="K133" s="35"/>
      <c r="L133" s="11"/>
      <c r="M133" s="11"/>
      <c r="N133" s="11"/>
      <c r="O133" s="37"/>
      <c r="P133" s="38" t="n">
        <f aca="false">N133-O133</f>
        <v>0</v>
      </c>
      <c r="Q133" s="35"/>
      <c r="R133" s="35"/>
      <c r="S133" s="39"/>
      <c r="T133" s="40"/>
      <c r="U133" s="35"/>
    </row>
    <row r="134" customFormat="false" ht="15" hidden="false" customHeight="true" outlineLevel="0" collapsed="false">
      <c r="A134" s="35"/>
      <c r="B134" s="36"/>
      <c r="C134" s="35"/>
      <c r="D134" s="35"/>
      <c r="E134" s="35"/>
      <c r="F134" s="35"/>
      <c r="G134" s="35"/>
      <c r="H134" s="35"/>
      <c r="I134" s="35"/>
      <c r="J134" s="35"/>
      <c r="K134" s="35"/>
      <c r="L134" s="11"/>
      <c r="M134" s="11"/>
      <c r="N134" s="11"/>
      <c r="O134" s="37"/>
      <c r="P134" s="38" t="n">
        <f aca="false">N134-O134</f>
        <v>0</v>
      </c>
      <c r="Q134" s="35"/>
      <c r="R134" s="35"/>
      <c r="S134" s="39"/>
      <c r="T134" s="40"/>
      <c r="U134" s="35"/>
    </row>
    <row r="135" customFormat="false" ht="15" hidden="false" customHeight="true" outlineLevel="0" collapsed="false">
      <c r="A135" s="35"/>
      <c r="B135" s="36"/>
      <c r="C135" s="35"/>
      <c r="D135" s="35"/>
      <c r="E135" s="35"/>
      <c r="F135" s="35"/>
      <c r="G135" s="35"/>
      <c r="H135" s="35"/>
      <c r="I135" s="35"/>
      <c r="J135" s="35"/>
      <c r="K135" s="35"/>
      <c r="L135" s="11"/>
      <c r="M135" s="11"/>
      <c r="N135" s="11"/>
      <c r="O135" s="37"/>
      <c r="P135" s="38" t="n">
        <f aca="false">N135-O135</f>
        <v>0</v>
      </c>
      <c r="Q135" s="35"/>
      <c r="R135" s="35"/>
      <c r="S135" s="39"/>
      <c r="T135" s="40"/>
      <c r="U135" s="35"/>
    </row>
    <row r="136" customFormat="false" ht="15" hidden="false" customHeight="true" outlineLevel="0" collapsed="false">
      <c r="A136" s="35"/>
      <c r="B136" s="36"/>
      <c r="C136" s="35"/>
      <c r="D136" s="35"/>
      <c r="E136" s="35"/>
      <c r="F136" s="35"/>
      <c r="G136" s="35"/>
      <c r="H136" s="35"/>
      <c r="I136" s="35"/>
      <c r="J136" s="35"/>
      <c r="K136" s="35"/>
      <c r="L136" s="11"/>
      <c r="M136" s="11"/>
      <c r="N136" s="11"/>
      <c r="O136" s="37"/>
      <c r="P136" s="38" t="n">
        <f aca="false">N136-O136</f>
        <v>0</v>
      </c>
      <c r="Q136" s="35"/>
      <c r="R136" s="35"/>
      <c r="S136" s="39"/>
      <c r="T136" s="40"/>
      <c r="U136" s="35"/>
    </row>
    <row r="137" customFormat="false" ht="15" hidden="false" customHeight="true" outlineLevel="0" collapsed="false">
      <c r="A137" s="35"/>
      <c r="B137" s="36"/>
      <c r="C137" s="35"/>
      <c r="D137" s="35"/>
      <c r="E137" s="35"/>
      <c r="F137" s="35"/>
      <c r="G137" s="35"/>
      <c r="H137" s="35"/>
      <c r="I137" s="35"/>
      <c r="J137" s="35"/>
      <c r="K137" s="35"/>
      <c r="L137" s="11"/>
      <c r="M137" s="11"/>
      <c r="N137" s="11"/>
      <c r="O137" s="37"/>
      <c r="P137" s="38" t="n">
        <f aca="false">N137-O137</f>
        <v>0</v>
      </c>
      <c r="Q137" s="35"/>
      <c r="R137" s="35"/>
      <c r="S137" s="39"/>
      <c r="T137" s="40"/>
      <c r="U137" s="35"/>
    </row>
    <row r="138" customFormat="false" ht="15" hidden="false" customHeight="true" outlineLevel="0" collapsed="false">
      <c r="A138" s="35"/>
      <c r="B138" s="36"/>
      <c r="C138" s="35"/>
      <c r="D138" s="35"/>
      <c r="E138" s="35"/>
      <c r="F138" s="35"/>
      <c r="G138" s="35"/>
      <c r="H138" s="35"/>
      <c r="I138" s="35"/>
      <c r="J138" s="35"/>
      <c r="K138" s="35"/>
      <c r="L138" s="11"/>
      <c r="M138" s="11"/>
      <c r="N138" s="11"/>
      <c r="O138" s="37"/>
      <c r="P138" s="38" t="n">
        <f aca="false">N138-O138</f>
        <v>0</v>
      </c>
      <c r="Q138" s="35"/>
      <c r="R138" s="35"/>
      <c r="S138" s="39"/>
      <c r="T138" s="40"/>
      <c r="U138" s="35"/>
    </row>
    <row r="139" customFormat="false" ht="15" hidden="false" customHeight="true" outlineLevel="0" collapsed="false">
      <c r="A139" s="35"/>
      <c r="B139" s="36"/>
      <c r="C139" s="35"/>
      <c r="D139" s="35"/>
      <c r="E139" s="35"/>
      <c r="F139" s="35"/>
      <c r="G139" s="35"/>
      <c r="H139" s="35"/>
      <c r="I139" s="35"/>
      <c r="J139" s="35"/>
      <c r="K139" s="35"/>
      <c r="L139" s="11"/>
      <c r="M139" s="11"/>
      <c r="N139" s="11"/>
      <c r="O139" s="37"/>
      <c r="P139" s="38" t="n">
        <f aca="false">N139-O139</f>
        <v>0</v>
      </c>
      <c r="Q139" s="35"/>
      <c r="R139" s="35"/>
      <c r="S139" s="39"/>
      <c r="T139" s="40"/>
      <c r="U139" s="35"/>
    </row>
    <row r="140" customFormat="false" ht="15" hidden="false" customHeight="true" outlineLevel="0" collapsed="false">
      <c r="A140" s="35"/>
      <c r="B140" s="36"/>
      <c r="C140" s="35"/>
      <c r="D140" s="35"/>
      <c r="E140" s="35"/>
      <c r="F140" s="35"/>
      <c r="G140" s="35"/>
      <c r="H140" s="35"/>
      <c r="I140" s="35"/>
      <c r="J140" s="35"/>
      <c r="K140" s="35"/>
      <c r="L140" s="11"/>
      <c r="M140" s="11"/>
      <c r="N140" s="11"/>
      <c r="O140" s="37"/>
      <c r="P140" s="38" t="n">
        <f aca="false">N140-O140</f>
        <v>0</v>
      </c>
      <c r="Q140" s="35"/>
      <c r="R140" s="35"/>
      <c r="S140" s="39"/>
      <c r="T140" s="40"/>
      <c r="U140" s="35"/>
    </row>
    <row r="141" customFormat="false" ht="15" hidden="false" customHeight="true" outlineLevel="0" collapsed="false">
      <c r="A141" s="35"/>
      <c r="B141" s="36"/>
      <c r="C141" s="35"/>
      <c r="D141" s="35"/>
      <c r="E141" s="35"/>
      <c r="F141" s="35"/>
      <c r="G141" s="35"/>
      <c r="H141" s="35"/>
      <c r="I141" s="35"/>
      <c r="J141" s="35"/>
      <c r="K141" s="35"/>
      <c r="L141" s="11"/>
      <c r="M141" s="11"/>
      <c r="N141" s="11"/>
      <c r="O141" s="37"/>
      <c r="P141" s="38" t="n">
        <f aca="false">N141-O141</f>
        <v>0</v>
      </c>
      <c r="Q141" s="35"/>
      <c r="R141" s="35"/>
      <c r="S141" s="39"/>
      <c r="T141" s="40"/>
      <c r="U141" s="35"/>
    </row>
    <row r="142" customFormat="false" ht="15" hidden="false" customHeight="true" outlineLevel="0" collapsed="false">
      <c r="A142" s="35"/>
      <c r="B142" s="36"/>
      <c r="C142" s="35"/>
      <c r="D142" s="35"/>
      <c r="E142" s="35"/>
      <c r="F142" s="35"/>
      <c r="G142" s="35"/>
      <c r="H142" s="35"/>
      <c r="I142" s="35"/>
      <c r="J142" s="35"/>
      <c r="K142" s="35"/>
      <c r="L142" s="11"/>
      <c r="M142" s="11"/>
      <c r="N142" s="11"/>
      <c r="O142" s="37"/>
      <c r="P142" s="38" t="n">
        <f aca="false">N142-O142</f>
        <v>0</v>
      </c>
      <c r="Q142" s="35"/>
      <c r="R142" s="35"/>
      <c r="S142" s="39"/>
      <c r="T142" s="40"/>
      <c r="U142" s="35"/>
    </row>
    <row r="143" customFormat="false" ht="15" hidden="false" customHeight="true" outlineLevel="0" collapsed="false">
      <c r="A143" s="35"/>
      <c r="B143" s="36"/>
      <c r="C143" s="35"/>
      <c r="D143" s="35"/>
      <c r="E143" s="35"/>
      <c r="F143" s="35"/>
      <c r="G143" s="35"/>
      <c r="H143" s="35"/>
      <c r="I143" s="35"/>
      <c r="J143" s="35"/>
      <c r="K143" s="35"/>
      <c r="L143" s="11"/>
      <c r="M143" s="11"/>
      <c r="N143" s="11"/>
      <c r="O143" s="37"/>
      <c r="P143" s="38" t="n">
        <f aca="false">N143-O143</f>
        <v>0</v>
      </c>
      <c r="Q143" s="35"/>
      <c r="R143" s="35"/>
      <c r="S143" s="39"/>
      <c r="T143" s="40"/>
      <c r="U143" s="35"/>
    </row>
    <row r="144" customFormat="false" ht="15" hidden="false" customHeight="true" outlineLevel="0" collapsed="false">
      <c r="A144" s="35"/>
      <c r="B144" s="36"/>
      <c r="C144" s="35"/>
      <c r="D144" s="35"/>
      <c r="E144" s="35"/>
      <c r="F144" s="35"/>
      <c r="G144" s="35"/>
      <c r="H144" s="35"/>
      <c r="I144" s="35"/>
      <c r="J144" s="35"/>
      <c r="K144" s="35"/>
      <c r="L144" s="11"/>
      <c r="M144" s="11"/>
      <c r="N144" s="11"/>
      <c r="O144" s="37"/>
      <c r="P144" s="38" t="n">
        <f aca="false">N144-O144</f>
        <v>0</v>
      </c>
      <c r="Q144" s="35"/>
      <c r="R144" s="35"/>
      <c r="S144" s="39"/>
      <c r="T144" s="40"/>
      <c r="U144" s="35"/>
    </row>
    <row r="145" customFormat="false" ht="15" hidden="false" customHeight="true" outlineLevel="0" collapsed="false">
      <c r="A145" s="35"/>
      <c r="B145" s="36"/>
      <c r="C145" s="35"/>
      <c r="D145" s="35"/>
      <c r="E145" s="35"/>
      <c r="F145" s="35"/>
      <c r="G145" s="35"/>
      <c r="H145" s="35"/>
      <c r="I145" s="35"/>
      <c r="J145" s="35"/>
      <c r="K145" s="35"/>
      <c r="L145" s="11"/>
      <c r="M145" s="11"/>
      <c r="N145" s="11"/>
      <c r="O145" s="37"/>
      <c r="P145" s="38" t="n">
        <f aca="false">N145-O145</f>
        <v>0</v>
      </c>
      <c r="Q145" s="35"/>
      <c r="R145" s="35"/>
      <c r="S145" s="39"/>
      <c r="T145" s="40"/>
      <c r="U145" s="35"/>
    </row>
    <row r="146" customFormat="false" ht="15" hidden="false" customHeight="true" outlineLevel="0" collapsed="false">
      <c r="A146" s="35"/>
      <c r="B146" s="36"/>
      <c r="C146" s="35"/>
      <c r="D146" s="35"/>
      <c r="E146" s="35"/>
      <c r="F146" s="35"/>
      <c r="G146" s="35"/>
      <c r="H146" s="35"/>
      <c r="I146" s="35"/>
      <c r="J146" s="35"/>
      <c r="K146" s="35"/>
      <c r="L146" s="11"/>
      <c r="M146" s="11"/>
      <c r="N146" s="11"/>
      <c r="O146" s="37"/>
      <c r="P146" s="38" t="n">
        <f aca="false">N146-O146</f>
        <v>0</v>
      </c>
      <c r="Q146" s="35"/>
      <c r="R146" s="35"/>
      <c r="S146" s="39"/>
      <c r="T146" s="40"/>
      <c r="U146" s="35"/>
    </row>
    <row r="147" customFormat="false" ht="15" hidden="false" customHeight="true" outlineLevel="0" collapsed="false">
      <c r="A147" s="35"/>
      <c r="B147" s="36"/>
      <c r="C147" s="35"/>
      <c r="D147" s="35"/>
      <c r="E147" s="35"/>
      <c r="F147" s="35"/>
      <c r="G147" s="35"/>
      <c r="H147" s="35"/>
      <c r="I147" s="35"/>
      <c r="J147" s="35"/>
      <c r="K147" s="35"/>
      <c r="L147" s="11"/>
      <c r="M147" s="11"/>
      <c r="N147" s="11"/>
      <c r="O147" s="37"/>
      <c r="P147" s="38" t="n">
        <f aca="false">N147-O147</f>
        <v>0</v>
      </c>
      <c r="Q147" s="35"/>
      <c r="R147" s="35"/>
      <c r="S147" s="39"/>
      <c r="T147" s="40"/>
      <c r="U147" s="35"/>
    </row>
    <row r="148" customFormat="false" ht="15" hidden="false" customHeight="true" outlineLevel="0" collapsed="false">
      <c r="A148" s="35"/>
      <c r="B148" s="36"/>
      <c r="C148" s="35"/>
      <c r="D148" s="35"/>
      <c r="E148" s="35"/>
      <c r="F148" s="35"/>
      <c r="G148" s="35"/>
      <c r="H148" s="35"/>
      <c r="I148" s="35"/>
      <c r="J148" s="35"/>
      <c r="K148" s="35"/>
      <c r="L148" s="11"/>
      <c r="M148" s="11"/>
      <c r="N148" s="11"/>
      <c r="O148" s="37"/>
      <c r="P148" s="38" t="n">
        <f aca="false">N148-O148</f>
        <v>0</v>
      </c>
      <c r="Q148" s="35"/>
      <c r="R148" s="35"/>
      <c r="S148" s="39"/>
      <c r="T148" s="40"/>
      <c r="U148" s="35"/>
    </row>
    <row r="149" customFormat="false" ht="15" hidden="false" customHeight="true" outlineLevel="0" collapsed="false">
      <c r="A149" s="35"/>
      <c r="B149" s="36"/>
      <c r="C149" s="35"/>
      <c r="D149" s="35"/>
      <c r="E149" s="35"/>
      <c r="F149" s="35"/>
      <c r="G149" s="35"/>
      <c r="H149" s="35"/>
      <c r="I149" s="35"/>
      <c r="J149" s="35"/>
      <c r="K149" s="35"/>
      <c r="L149" s="11"/>
      <c r="M149" s="11"/>
      <c r="N149" s="11"/>
      <c r="O149" s="37"/>
      <c r="P149" s="38" t="n">
        <f aca="false">N149-O149</f>
        <v>0</v>
      </c>
      <c r="Q149" s="35"/>
      <c r="R149" s="35"/>
      <c r="S149" s="39"/>
      <c r="T149" s="40"/>
      <c r="U149" s="35"/>
    </row>
    <row r="150" customFormat="false" ht="15" hidden="false" customHeight="true" outlineLevel="0" collapsed="false">
      <c r="A150" s="35"/>
      <c r="B150" s="36"/>
      <c r="C150" s="35"/>
      <c r="D150" s="35"/>
      <c r="E150" s="35"/>
      <c r="F150" s="35"/>
      <c r="G150" s="35"/>
      <c r="H150" s="35"/>
      <c r="I150" s="35"/>
      <c r="J150" s="35"/>
      <c r="K150" s="35"/>
      <c r="L150" s="11"/>
      <c r="M150" s="11"/>
      <c r="N150" s="11"/>
      <c r="O150" s="37"/>
      <c r="P150" s="38" t="n">
        <f aca="false">N150-O150</f>
        <v>0</v>
      </c>
      <c r="Q150" s="35"/>
      <c r="R150" s="35"/>
      <c r="S150" s="39"/>
      <c r="T150" s="40"/>
      <c r="U150" s="35"/>
    </row>
    <row r="151" customFormat="false" ht="15" hidden="false" customHeight="true" outlineLevel="0" collapsed="false">
      <c r="A151" s="35"/>
      <c r="B151" s="36"/>
      <c r="C151" s="35"/>
      <c r="D151" s="35"/>
      <c r="E151" s="35"/>
      <c r="F151" s="35"/>
      <c r="G151" s="35"/>
      <c r="H151" s="35"/>
      <c r="I151" s="35"/>
      <c r="J151" s="35"/>
      <c r="K151" s="35"/>
      <c r="L151" s="11"/>
      <c r="M151" s="11"/>
      <c r="N151" s="11"/>
      <c r="O151" s="37"/>
      <c r="P151" s="38" t="n">
        <f aca="false">N151-O151</f>
        <v>0</v>
      </c>
      <c r="Q151" s="35"/>
      <c r="R151" s="35"/>
      <c r="S151" s="39"/>
      <c r="T151" s="40"/>
      <c r="U151" s="35"/>
    </row>
    <row r="152" customFormat="false" ht="15" hidden="false" customHeight="true" outlineLevel="0" collapsed="false">
      <c r="A152" s="35"/>
      <c r="B152" s="36"/>
      <c r="C152" s="35"/>
      <c r="D152" s="35"/>
      <c r="E152" s="35"/>
      <c r="F152" s="35"/>
      <c r="G152" s="35"/>
      <c r="H152" s="35"/>
      <c r="I152" s="35"/>
      <c r="J152" s="35"/>
      <c r="K152" s="35"/>
      <c r="L152" s="11"/>
      <c r="M152" s="11"/>
      <c r="N152" s="11"/>
      <c r="O152" s="37"/>
      <c r="P152" s="38" t="n">
        <f aca="false">N152-O152</f>
        <v>0</v>
      </c>
      <c r="Q152" s="35"/>
      <c r="R152" s="35"/>
      <c r="S152" s="39"/>
      <c r="T152" s="40"/>
      <c r="U152" s="35"/>
    </row>
    <row r="153" customFormat="false" ht="15" hidden="false" customHeight="true" outlineLevel="0" collapsed="false">
      <c r="A153" s="35"/>
      <c r="B153" s="36"/>
      <c r="C153" s="35"/>
      <c r="D153" s="35"/>
      <c r="E153" s="35"/>
      <c r="F153" s="35"/>
      <c r="G153" s="35"/>
      <c r="H153" s="35"/>
      <c r="I153" s="35"/>
      <c r="J153" s="35"/>
      <c r="K153" s="35"/>
      <c r="L153" s="11"/>
      <c r="M153" s="11"/>
      <c r="N153" s="11"/>
      <c r="O153" s="37"/>
      <c r="P153" s="38" t="n">
        <f aca="false">N153-O153</f>
        <v>0</v>
      </c>
      <c r="Q153" s="35"/>
      <c r="R153" s="35"/>
      <c r="S153" s="39"/>
      <c r="T153" s="40"/>
      <c r="U153" s="35"/>
    </row>
    <row r="154" customFormat="false" ht="15" hidden="false" customHeight="true" outlineLevel="0" collapsed="false">
      <c r="A154" s="35"/>
      <c r="B154" s="36"/>
      <c r="C154" s="35"/>
      <c r="D154" s="35"/>
      <c r="E154" s="35"/>
      <c r="F154" s="35"/>
      <c r="G154" s="35"/>
      <c r="H154" s="35"/>
      <c r="I154" s="35"/>
      <c r="J154" s="35"/>
      <c r="K154" s="35"/>
      <c r="L154" s="11"/>
      <c r="M154" s="11"/>
      <c r="N154" s="11"/>
      <c r="O154" s="37"/>
      <c r="P154" s="38" t="n">
        <f aca="false">N154-O154</f>
        <v>0</v>
      </c>
      <c r="Q154" s="35"/>
      <c r="R154" s="35"/>
      <c r="S154" s="39"/>
      <c r="T154" s="40"/>
      <c r="U154" s="35"/>
    </row>
    <row r="155" customFormat="false" ht="15" hidden="false" customHeight="true" outlineLevel="0" collapsed="false">
      <c r="A155" s="35"/>
      <c r="B155" s="36"/>
      <c r="C155" s="35"/>
      <c r="D155" s="35"/>
      <c r="E155" s="35"/>
      <c r="F155" s="35"/>
      <c r="G155" s="35"/>
      <c r="H155" s="35"/>
      <c r="I155" s="35"/>
      <c r="J155" s="35"/>
      <c r="K155" s="35"/>
      <c r="L155" s="11"/>
      <c r="M155" s="11"/>
      <c r="N155" s="11"/>
      <c r="O155" s="37"/>
      <c r="P155" s="38" t="n">
        <f aca="false">N155-O155</f>
        <v>0</v>
      </c>
      <c r="Q155" s="35"/>
      <c r="R155" s="35"/>
      <c r="S155" s="39"/>
      <c r="T155" s="40"/>
      <c r="U155" s="35"/>
    </row>
    <row r="156" customFormat="false" ht="15" hidden="false" customHeight="true" outlineLevel="0" collapsed="false">
      <c r="A156" s="35"/>
      <c r="B156" s="36"/>
      <c r="C156" s="35"/>
      <c r="D156" s="35"/>
      <c r="E156" s="35"/>
      <c r="F156" s="35"/>
      <c r="G156" s="35"/>
      <c r="H156" s="35"/>
      <c r="I156" s="35"/>
      <c r="J156" s="35"/>
      <c r="K156" s="35"/>
      <c r="L156" s="11"/>
      <c r="M156" s="11"/>
      <c r="N156" s="11"/>
      <c r="O156" s="37"/>
      <c r="P156" s="38" t="n">
        <f aca="false">N156-O156</f>
        <v>0</v>
      </c>
      <c r="Q156" s="35"/>
      <c r="R156" s="35"/>
      <c r="S156" s="39"/>
      <c r="T156" s="40"/>
      <c r="U156" s="35"/>
    </row>
    <row r="157" customFormat="false" ht="15" hidden="false" customHeight="true" outlineLevel="0" collapsed="false">
      <c r="A157" s="35"/>
      <c r="B157" s="36"/>
      <c r="C157" s="35"/>
      <c r="D157" s="35"/>
      <c r="E157" s="35"/>
      <c r="F157" s="35"/>
      <c r="G157" s="35"/>
      <c r="H157" s="35"/>
      <c r="I157" s="35"/>
      <c r="J157" s="35"/>
      <c r="K157" s="35"/>
      <c r="L157" s="11"/>
      <c r="M157" s="11"/>
      <c r="N157" s="11"/>
      <c r="O157" s="37"/>
      <c r="P157" s="38" t="n">
        <f aca="false">N157-O157</f>
        <v>0</v>
      </c>
      <c r="Q157" s="35"/>
      <c r="R157" s="35"/>
      <c r="S157" s="39"/>
      <c r="T157" s="40"/>
      <c r="U157" s="35"/>
    </row>
    <row r="158" customFormat="false" ht="15" hidden="false" customHeight="true" outlineLevel="0" collapsed="false">
      <c r="A158" s="35"/>
      <c r="B158" s="36"/>
      <c r="C158" s="35"/>
      <c r="D158" s="35"/>
      <c r="E158" s="35"/>
      <c r="F158" s="35"/>
      <c r="G158" s="35"/>
      <c r="H158" s="35"/>
      <c r="I158" s="35"/>
      <c r="J158" s="35"/>
      <c r="K158" s="35"/>
      <c r="L158" s="11"/>
      <c r="M158" s="11"/>
      <c r="N158" s="11"/>
      <c r="O158" s="37"/>
      <c r="P158" s="38" t="n">
        <f aca="false">N158-O158</f>
        <v>0</v>
      </c>
      <c r="Q158" s="35"/>
      <c r="R158" s="35"/>
      <c r="S158" s="39"/>
      <c r="T158" s="40"/>
      <c r="U158" s="35"/>
    </row>
    <row r="159" customFormat="false" ht="15" hidden="false" customHeight="true" outlineLevel="0" collapsed="false">
      <c r="A159" s="35"/>
      <c r="B159" s="36"/>
      <c r="C159" s="35"/>
      <c r="D159" s="35"/>
      <c r="E159" s="35"/>
      <c r="F159" s="35"/>
      <c r="G159" s="35"/>
      <c r="H159" s="35"/>
      <c r="I159" s="35"/>
      <c r="J159" s="35"/>
      <c r="K159" s="35"/>
      <c r="L159" s="11"/>
      <c r="M159" s="11"/>
      <c r="N159" s="11"/>
      <c r="O159" s="37"/>
      <c r="P159" s="38" t="n">
        <f aca="false">N159-O159</f>
        <v>0</v>
      </c>
      <c r="Q159" s="35"/>
      <c r="R159" s="35"/>
      <c r="S159" s="39"/>
      <c r="T159" s="40"/>
      <c r="U159" s="35"/>
    </row>
    <row r="160" customFormat="false" ht="15" hidden="false" customHeight="true" outlineLevel="0" collapsed="false">
      <c r="A160" s="35"/>
      <c r="B160" s="36"/>
      <c r="C160" s="35"/>
      <c r="D160" s="35"/>
      <c r="E160" s="35"/>
      <c r="F160" s="35"/>
      <c r="G160" s="35"/>
      <c r="H160" s="35"/>
      <c r="I160" s="35"/>
      <c r="J160" s="35"/>
      <c r="K160" s="35"/>
      <c r="L160" s="11"/>
      <c r="M160" s="11"/>
      <c r="N160" s="11"/>
      <c r="O160" s="37"/>
      <c r="P160" s="38" t="n">
        <f aca="false">N160-O160</f>
        <v>0</v>
      </c>
      <c r="Q160" s="35"/>
      <c r="R160" s="35"/>
      <c r="S160" s="39"/>
      <c r="T160" s="40"/>
      <c r="U160" s="35"/>
    </row>
    <row r="161" customFormat="false" ht="15" hidden="false" customHeight="true" outlineLevel="0" collapsed="false">
      <c r="A161" s="35"/>
      <c r="B161" s="36"/>
      <c r="C161" s="35"/>
      <c r="D161" s="35"/>
      <c r="E161" s="35"/>
      <c r="F161" s="35"/>
      <c r="G161" s="35"/>
      <c r="H161" s="35"/>
      <c r="I161" s="35"/>
      <c r="J161" s="35"/>
      <c r="K161" s="35"/>
      <c r="L161" s="11"/>
      <c r="M161" s="11"/>
      <c r="N161" s="11"/>
      <c r="O161" s="37"/>
      <c r="P161" s="38" t="n">
        <f aca="false">N161-O161</f>
        <v>0</v>
      </c>
      <c r="Q161" s="35"/>
      <c r="R161" s="35"/>
      <c r="S161" s="39"/>
      <c r="T161" s="40"/>
      <c r="U161" s="35"/>
    </row>
    <row r="162" customFormat="false" ht="15" hidden="false" customHeight="true" outlineLevel="0" collapsed="false">
      <c r="A162" s="35"/>
      <c r="B162" s="36"/>
      <c r="C162" s="35"/>
      <c r="D162" s="35"/>
      <c r="E162" s="35"/>
      <c r="F162" s="35"/>
      <c r="G162" s="35"/>
      <c r="H162" s="35"/>
      <c r="I162" s="35"/>
      <c r="J162" s="35"/>
      <c r="K162" s="35"/>
      <c r="L162" s="11"/>
      <c r="M162" s="11"/>
      <c r="N162" s="11"/>
      <c r="O162" s="37"/>
      <c r="P162" s="38" t="n">
        <f aca="false">N162-O162</f>
        <v>0</v>
      </c>
      <c r="Q162" s="35"/>
      <c r="R162" s="35"/>
      <c r="S162" s="39"/>
      <c r="T162" s="40"/>
      <c r="U162" s="35"/>
    </row>
    <row r="163" customFormat="false" ht="15" hidden="false" customHeight="true" outlineLevel="0" collapsed="false">
      <c r="A163" s="35"/>
      <c r="B163" s="36"/>
      <c r="C163" s="35"/>
      <c r="D163" s="35"/>
      <c r="E163" s="35"/>
      <c r="F163" s="35"/>
      <c r="G163" s="35"/>
      <c r="H163" s="35"/>
      <c r="I163" s="35"/>
      <c r="J163" s="35"/>
      <c r="K163" s="35"/>
      <c r="L163" s="11"/>
      <c r="M163" s="11"/>
      <c r="N163" s="11"/>
      <c r="O163" s="37"/>
      <c r="P163" s="38" t="n">
        <f aca="false">N163-O163</f>
        <v>0</v>
      </c>
      <c r="Q163" s="35"/>
      <c r="R163" s="35"/>
      <c r="S163" s="39"/>
      <c r="T163" s="40"/>
      <c r="U163" s="35"/>
    </row>
    <row r="164" customFormat="false" ht="15" hidden="false" customHeight="true" outlineLevel="0" collapsed="false">
      <c r="A164" s="35"/>
      <c r="B164" s="36"/>
      <c r="C164" s="35"/>
      <c r="D164" s="35"/>
      <c r="E164" s="35"/>
      <c r="F164" s="35"/>
      <c r="G164" s="35"/>
      <c r="H164" s="35"/>
      <c r="I164" s="35"/>
      <c r="J164" s="35"/>
      <c r="K164" s="35"/>
      <c r="L164" s="11"/>
      <c r="M164" s="11"/>
      <c r="N164" s="11"/>
      <c r="O164" s="37"/>
      <c r="P164" s="38" t="n">
        <f aca="false">N164-O164</f>
        <v>0</v>
      </c>
      <c r="Q164" s="35"/>
      <c r="R164" s="35"/>
      <c r="S164" s="39"/>
      <c r="T164" s="40"/>
      <c r="U164" s="35"/>
    </row>
    <row r="165" customFormat="false" ht="15" hidden="false" customHeight="true" outlineLevel="0" collapsed="false">
      <c r="A165" s="35"/>
      <c r="B165" s="36"/>
      <c r="C165" s="35"/>
      <c r="D165" s="35"/>
      <c r="E165" s="35"/>
      <c r="F165" s="35"/>
      <c r="G165" s="35"/>
      <c r="H165" s="35"/>
      <c r="I165" s="35"/>
      <c r="J165" s="35"/>
      <c r="K165" s="35"/>
      <c r="L165" s="11"/>
      <c r="M165" s="11"/>
      <c r="N165" s="11"/>
      <c r="O165" s="37"/>
      <c r="P165" s="38" t="n">
        <f aca="false">N165-O165</f>
        <v>0</v>
      </c>
      <c r="Q165" s="35"/>
      <c r="R165" s="35"/>
      <c r="S165" s="39"/>
      <c r="T165" s="40"/>
      <c r="U165" s="35"/>
    </row>
    <row r="166" customFormat="false" ht="15" hidden="false" customHeight="true" outlineLevel="0" collapsed="false">
      <c r="A166" s="35"/>
      <c r="B166" s="36"/>
      <c r="C166" s="35"/>
      <c r="D166" s="35"/>
      <c r="E166" s="35"/>
      <c r="F166" s="35"/>
      <c r="G166" s="35"/>
      <c r="H166" s="35"/>
      <c r="I166" s="35"/>
      <c r="J166" s="35"/>
      <c r="K166" s="35"/>
      <c r="L166" s="11"/>
      <c r="M166" s="11"/>
      <c r="N166" s="11"/>
      <c r="O166" s="37"/>
      <c r="P166" s="38" t="n">
        <f aca="false">N166-O166</f>
        <v>0</v>
      </c>
      <c r="Q166" s="35"/>
      <c r="R166" s="35"/>
      <c r="S166" s="39"/>
      <c r="T166" s="40"/>
      <c r="U166" s="35"/>
    </row>
    <row r="167" customFormat="false" ht="15" hidden="false" customHeight="true" outlineLevel="0" collapsed="false">
      <c r="A167" s="35"/>
      <c r="B167" s="36"/>
      <c r="C167" s="35"/>
      <c r="D167" s="35"/>
      <c r="E167" s="35"/>
      <c r="F167" s="35"/>
      <c r="G167" s="35"/>
      <c r="H167" s="35"/>
      <c r="I167" s="35"/>
      <c r="J167" s="35"/>
      <c r="K167" s="35"/>
      <c r="L167" s="11"/>
      <c r="M167" s="11"/>
      <c r="N167" s="11"/>
      <c r="O167" s="37"/>
      <c r="P167" s="38" t="n">
        <f aca="false">N167-O167</f>
        <v>0</v>
      </c>
      <c r="Q167" s="35"/>
      <c r="R167" s="35"/>
      <c r="S167" s="39"/>
      <c r="T167" s="40"/>
      <c r="U167" s="35"/>
    </row>
    <row r="168" customFormat="false" ht="15" hidden="false" customHeight="true" outlineLevel="0" collapsed="false">
      <c r="A168" s="35"/>
      <c r="B168" s="36"/>
      <c r="C168" s="35"/>
      <c r="D168" s="35"/>
      <c r="E168" s="35"/>
      <c r="F168" s="35"/>
      <c r="G168" s="35"/>
      <c r="H168" s="35"/>
      <c r="I168" s="35"/>
      <c r="J168" s="35"/>
      <c r="K168" s="35"/>
      <c r="L168" s="11"/>
      <c r="M168" s="11"/>
      <c r="N168" s="11"/>
      <c r="O168" s="37"/>
      <c r="P168" s="38" t="n">
        <f aca="false">N168-O168</f>
        <v>0</v>
      </c>
      <c r="Q168" s="35"/>
      <c r="R168" s="35"/>
      <c r="S168" s="39"/>
      <c r="T168" s="40"/>
      <c r="U168" s="35"/>
    </row>
    <row r="169" customFormat="false" ht="15" hidden="false" customHeight="true" outlineLevel="0" collapsed="false">
      <c r="A169" s="35"/>
      <c r="B169" s="36"/>
      <c r="C169" s="35"/>
      <c r="D169" s="35"/>
      <c r="E169" s="35"/>
      <c r="F169" s="35"/>
      <c r="G169" s="35"/>
      <c r="H169" s="35"/>
      <c r="I169" s="35"/>
      <c r="J169" s="35"/>
      <c r="K169" s="35"/>
      <c r="L169" s="11"/>
      <c r="M169" s="11"/>
      <c r="N169" s="11"/>
      <c r="O169" s="37"/>
      <c r="P169" s="38" t="n">
        <f aca="false">N169-O169</f>
        <v>0</v>
      </c>
      <c r="Q169" s="35"/>
      <c r="R169" s="35"/>
      <c r="S169" s="39"/>
      <c r="T169" s="40"/>
      <c r="U169" s="35"/>
    </row>
    <row r="170" customFormat="false" ht="15" hidden="false" customHeight="true" outlineLevel="0" collapsed="false">
      <c r="A170" s="35"/>
      <c r="B170" s="36"/>
      <c r="C170" s="35"/>
      <c r="D170" s="35"/>
      <c r="E170" s="35"/>
      <c r="F170" s="35"/>
      <c r="G170" s="35"/>
      <c r="H170" s="35"/>
      <c r="I170" s="35"/>
      <c r="J170" s="35"/>
      <c r="K170" s="35"/>
      <c r="L170" s="11"/>
      <c r="M170" s="11"/>
      <c r="N170" s="11"/>
      <c r="O170" s="37"/>
      <c r="P170" s="38" t="n">
        <f aca="false">N170-O170</f>
        <v>0</v>
      </c>
      <c r="Q170" s="35"/>
      <c r="R170" s="35"/>
      <c r="S170" s="39"/>
      <c r="T170" s="40"/>
      <c r="U170" s="35"/>
    </row>
    <row r="171" customFormat="false" ht="15" hidden="false" customHeight="true" outlineLevel="0" collapsed="false">
      <c r="A171" s="35"/>
      <c r="B171" s="36"/>
      <c r="C171" s="35"/>
      <c r="D171" s="35"/>
      <c r="E171" s="35"/>
      <c r="F171" s="35"/>
      <c r="G171" s="35"/>
      <c r="H171" s="35"/>
      <c r="I171" s="35"/>
      <c r="J171" s="35"/>
      <c r="K171" s="35"/>
      <c r="L171" s="11"/>
      <c r="M171" s="11"/>
      <c r="N171" s="11"/>
      <c r="O171" s="37"/>
      <c r="P171" s="38" t="n">
        <f aca="false">N171-O171</f>
        <v>0</v>
      </c>
      <c r="Q171" s="35"/>
      <c r="R171" s="35"/>
      <c r="S171" s="39"/>
      <c r="T171" s="40"/>
      <c r="U171" s="35"/>
    </row>
    <row r="172" customFormat="false" ht="15" hidden="false" customHeight="true" outlineLevel="0" collapsed="false">
      <c r="A172" s="35"/>
      <c r="B172" s="36"/>
      <c r="C172" s="35"/>
      <c r="D172" s="35"/>
      <c r="E172" s="35"/>
      <c r="F172" s="35"/>
      <c r="G172" s="35"/>
      <c r="H172" s="35"/>
      <c r="I172" s="35"/>
      <c r="J172" s="35"/>
      <c r="K172" s="35"/>
      <c r="L172" s="11"/>
      <c r="M172" s="11"/>
      <c r="N172" s="11"/>
      <c r="O172" s="37"/>
      <c r="P172" s="38" t="n">
        <f aca="false">N172-O172</f>
        <v>0</v>
      </c>
      <c r="Q172" s="35"/>
      <c r="R172" s="35"/>
      <c r="S172" s="39"/>
      <c r="T172" s="40"/>
      <c r="U172" s="35"/>
    </row>
    <row r="173" customFormat="false" ht="15" hidden="false" customHeight="true" outlineLevel="0" collapsed="false">
      <c r="A173" s="35"/>
      <c r="B173" s="36"/>
      <c r="C173" s="35"/>
      <c r="D173" s="35"/>
      <c r="E173" s="35"/>
      <c r="F173" s="35"/>
      <c r="G173" s="35"/>
      <c r="H173" s="35"/>
      <c r="I173" s="35"/>
      <c r="J173" s="35"/>
      <c r="K173" s="35"/>
      <c r="L173" s="11"/>
      <c r="M173" s="11"/>
      <c r="N173" s="11"/>
      <c r="O173" s="37"/>
      <c r="P173" s="38" t="n">
        <f aca="false">N173-O173</f>
        <v>0</v>
      </c>
      <c r="Q173" s="35"/>
      <c r="R173" s="35"/>
      <c r="S173" s="39"/>
      <c r="T173" s="40"/>
      <c r="U173" s="35"/>
    </row>
    <row r="174" customFormat="false" ht="15" hidden="false" customHeight="true" outlineLevel="0" collapsed="false">
      <c r="A174" s="35"/>
      <c r="B174" s="36"/>
      <c r="C174" s="35"/>
      <c r="D174" s="35"/>
      <c r="E174" s="35"/>
      <c r="F174" s="35"/>
      <c r="G174" s="35"/>
      <c r="H174" s="35"/>
      <c r="I174" s="35"/>
      <c r="J174" s="35"/>
      <c r="K174" s="35"/>
      <c r="L174" s="11"/>
      <c r="M174" s="11"/>
      <c r="N174" s="11"/>
      <c r="O174" s="37"/>
      <c r="P174" s="38" t="n">
        <f aca="false">N174-O174</f>
        <v>0</v>
      </c>
      <c r="Q174" s="35"/>
      <c r="R174" s="35"/>
      <c r="S174" s="39"/>
      <c r="T174" s="40"/>
      <c r="U174" s="35"/>
    </row>
    <row r="175" customFormat="false" ht="15" hidden="false" customHeight="true" outlineLevel="0" collapsed="false">
      <c r="A175" s="35"/>
      <c r="B175" s="36"/>
      <c r="C175" s="35"/>
      <c r="D175" s="35"/>
      <c r="E175" s="35"/>
      <c r="F175" s="35"/>
      <c r="G175" s="35"/>
      <c r="H175" s="35"/>
      <c r="I175" s="35"/>
      <c r="J175" s="35"/>
      <c r="K175" s="35"/>
      <c r="L175" s="11"/>
      <c r="M175" s="11"/>
      <c r="N175" s="11"/>
      <c r="O175" s="37"/>
      <c r="P175" s="38" t="n">
        <f aca="false">N175-O175</f>
        <v>0</v>
      </c>
      <c r="Q175" s="35"/>
      <c r="R175" s="35"/>
      <c r="S175" s="39"/>
      <c r="T175" s="40"/>
      <c r="U175" s="35"/>
    </row>
    <row r="176" customFormat="false" ht="15" hidden="false" customHeight="true" outlineLevel="0" collapsed="false">
      <c r="A176" s="35"/>
      <c r="B176" s="36"/>
      <c r="C176" s="35"/>
      <c r="D176" s="35"/>
      <c r="E176" s="35"/>
      <c r="F176" s="35"/>
      <c r="G176" s="35"/>
      <c r="H176" s="35"/>
      <c r="I176" s="35"/>
      <c r="J176" s="35"/>
      <c r="K176" s="35"/>
      <c r="L176" s="11"/>
      <c r="M176" s="11"/>
      <c r="N176" s="11"/>
      <c r="O176" s="37"/>
      <c r="P176" s="38" t="n">
        <f aca="false">N176-O176</f>
        <v>0</v>
      </c>
      <c r="Q176" s="35"/>
      <c r="R176" s="35"/>
      <c r="S176" s="39"/>
      <c r="T176" s="40"/>
      <c r="U176" s="35"/>
    </row>
    <row r="177" customFormat="false" ht="15" hidden="false" customHeight="true" outlineLevel="0" collapsed="false">
      <c r="A177" s="35"/>
      <c r="B177" s="36"/>
      <c r="C177" s="35"/>
      <c r="D177" s="35"/>
      <c r="E177" s="35"/>
      <c r="F177" s="35"/>
      <c r="G177" s="35"/>
      <c r="H177" s="35"/>
      <c r="I177" s="35"/>
      <c r="J177" s="35"/>
      <c r="K177" s="35"/>
      <c r="L177" s="11"/>
      <c r="M177" s="11"/>
      <c r="N177" s="11"/>
      <c r="O177" s="37"/>
      <c r="P177" s="38" t="n">
        <f aca="false">N177-O177</f>
        <v>0</v>
      </c>
      <c r="Q177" s="35"/>
      <c r="R177" s="35"/>
      <c r="S177" s="39"/>
      <c r="T177" s="40"/>
      <c r="U177" s="35"/>
    </row>
    <row r="178" customFormat="false" ht="15" hidden="false" customHeight="true" outlineLevel="0" collapsed="false">
      <c r="A178" s="35"/>
      <c r="B178" s="36"/>
      <c r="C178" s="35"/>
      <c r="D178" s="35"/>
      <c r="E178" s="35"/>
      <c r="F178" s="35"/>
      <c r="G178" s="35"/>
      <c r="H178" s="35"/>
      <c r="I178" s="35"/>
      <c r="J178" s="35"/>
      <c r="K178" s="35"/>
      <c r="L178" s="11"/>
      <c r="M178" s="11"/>
      <c r="N178" s="11"/>
      <c r="O178" s="37"/>
      <c r="P178" s="38" t="n">
        <f aca="false">N178-O178</f>
        <v>0</v>
      </c>
      <c r="Q178" s="35"/>
      <c r="R178" s="35"/>
      <c r="S178" s="39"/>
      <c r="T178" s="40"/>
      <c r="U178" s="35"/>
    </row>
    <row r="179" customFormat="false" ht="15" hidden="false" customHeight="true" outlineLevel="0" collapsed="false">
      <c r="A179" s="35"/>
      <c r="B179" s="36"/>
      <c r="C179" s="35"/>
      <c r="D179" s="35"/>
      <c r="E179" s="35"/>
      <c r="F179" s="35"/>
      <c r="G179" s="35"/>
      <c r="H179" s="35"/>
      <c r="I179" s="35"/>
      <c r="J179" s="35"/>
      <c r="K179" s="35"/>
      <c r="L179" s="11"/>
      <c r="M179" s="11"/>
      <c r="N179" s="11"/>
      <c r="O179" s="37"/>
      <c r="P179" s="38" t="n">
        <f aca="false">N179-O179</f>
        <v>0</v>
      </c>
      <c r="Q179" s="35"/>
      <c r="R179" s="35"/>
      <c r="S179" s="39"/>
      <c r="T179" s="40"/>
      <c r="U179" s="35"/>
    </row>
    <row r="180" customFormat="false" ht="15" hidden="false" customHeight="true" outlineLevel="0" collapsed="false">
      <c r="A180" s="35"/>
      <c r="B180" s="36"/>
      <c r="C180" s="35"/>
      <c r="D180" s="35"/>
      <c r="E180" s="35"/>
      <c r="F180" s="35"/>
      <c r="G180" s="35"/>
      <c r="H180" s="35"/>
      <c r="I180" s="35"/>
      <c r="J180" s="35"/>
      <c r="K180" s="35"/>
      <c r="L180" s="11"/>
      <c r="M180" s="11"/>
      <c r="N180" s="11"/>
      <c r="O180" s="37"/>
      <c r="P180" s="38" t="n">
        <f aca="false">N180-O180</f>
        <v>0</v>
      </c>
      <c r="Q180" s="35"/>
      <c r="R180" s="35"/>
      <c r="S180" s="39"/>
      <c r="T180" s="40"/>
      <c r="U180" s="35"/>
    </row>
    <row r="181" customFormat="false" ht="15" hidden="false" customHeight="true" outlineLevel="0" collapsed="false">
      <c r="A181" s="35"/>
      <c r="B181" s="36"/>
      <c r="C181" s="35"/>
      <c r="D181" s="35"/>
      <c r="E181" s="35"/>
      <c r="F181" s="35"/>
      <c r="G181" s="35"/>
      <c r="H181" s="35"/>
      <c r="I181" s="35"/>
      <c r="J181" s="35"/>
      <c r="K181" s="35"/>
      <c r="L181" s="11"/>
      <c r="M181" s="11"/>
      <c r="N181" s="11"/>
      <c r="O181" s="37"/>
      <c r="P181" s="38" t="n">
        <f aca="false">N181-O181</f>
        <v>0</v>
      </c>
      <c r="Q181" s="35"/>
      <c r="R181" s="35"/>
      <c r="S181" s="39"/>
      <c r="T181" s="40"/>
      <c r="U181" s="35"/>
    </row>
    <row r="182" customFormat="false" ht="15" hidden="false" customHeight="true" outlineLevel="0" collapsed="false">
      <c r="A182" s="35"/>
      <c r="B182" s="36"/>
      <c r="C182" s="35"/>
      <c r="D182" s="35"/>
      <c r="E182" s="35"/>
      <c r="F182" s="35"/>
      <c r="G182" s="35"/>
      <c r="H182" s="35"/>
      <c r="I182" s="35"/>
      <c r="J182" s="35"/>
      <c r="K182" s="35"/>
      <c r="L182" s="11"/>
      <c r="M182" s="11"/>
      <c r="N182" s="11"/>
      <c r="O182" s="37"/>
      <c r="P182" s="38" t="n">
        <f aca="false">N182-O182</f>
        <v>0</v>
      </c>
      <c r="Q182" s="35"/>
      <c r="R182" s="35"/>
      <c r="S182" s="39"/>
      <c r="T182" s="40"/>
      <c r="U182" s="35"/>
    </row>
    <row r="183" customFormat="false" ht="15" hidden="false" customHeight="true" outlineLevel="0" collapsed="false">
      <c r="A183" s="35"/>
      <c r="B183" s="36"/>
      <c r="C183" s="35"/>
      <c r="D183" s="35"/>
      <c r="E183" s="35"/>
      <c r="F183" s="35"/>
      <c r="G183" s="35"/>
      <c r="H183" s="35"/>
      <c r="I183" s="35"/>
      <c r="J183" s="35"/>
      <c r="K183" s="35"/>
      <c r="L183" s="11"/>
      <c r="M183" s="11"/>
      <c r="N183" s="11"/>
      <c r="O183" s="37"/>
      <c r="P183" s="38" t="n">
        <f aca="false">N183-O183</f>
        <v>0</v>
      </c>
      <c r="Q183" s="35"/>
      <c r="R183" s="35"/>
      <c r="S183" s="39"/>
      <c r="T183" s="40"/>
      <c r="U183" s="35"/>
    </row>
    <row r="184" customFormat="false" ht="15" hidden="false" customHeight="true" outlineLevel="0" collapsed="false">
      <c r="A184" s="35"/>
      <c r="B184" s="36"/>
      <c r="C184" s="35"/>
      <c r="D184" s="35"/>
      <c r="E184" s="35"/>
      <c r="F184" s="35"/>
      <c r="G184" s="35"/>
      <c r="H184" s="35"/>
      <c r="I184" s="35"/>
      <c r="J184" s="35"/>
      <c r="K184" s="35"/>
      <c r="L184" s="11"/>
      <c r="M184" s="11"/>
      <c r="N184" s="11"/>
      <c r="O184" s="37"/>
      <c r="P184" s="38" t="n">
        <f aca="false">N184-O184</f>
        <v>0</v>
      </c>
      <c r="Q184" s="35"/>
      <c r="R184" s="35"/>
      <c r="S184" s="39"/>
      <c r="T184" s="40"/>
      <c r="U184" s="35"/>
    </row>
    <row r="185" customFormat="false" ht="15" hidden="false" customHeight="true" outlineLevel="0" collapsed="false">
      <c r="A185" s="35"/>
      <c r="B185" s="36"/>
      <c r="C185" s="35"/>
      <c r="D185" s="35"/>
      <c r="E185" s="35"/>
      <c r="F185" s="35"/>
      <c r="G185" s="35"/>
      <c r="H185" s="35"/>
      <c r="I185" s="35"/>
      <c r="J185" s="35"/>
      <c r="K185" s="35"/>
      <c r="L185" s="11"/>
      <c r="M185" s="11"/>
      <c r="N185" s="11"/>
      <c r="O185" s="37"/>
      <c r="P185" s="38" t="n">
        <f aca="false">N185-O185</f>
        <v>0</v>
      </c>
      <c r="Q185" s="35"/>
      <c r="R185" s="35"/>
      <c r="S185" s="39"/>
      <c r="T185" s="40"/>
      <c r="U185" s="35"/>
    </row>
    <row r="186" customFormat="false" ht="15" hidden="false" customHeight="true" outlineLevel="0" collapsed="false">
      <c r="A186" s="35"/>
      <c r="B186" s="36"/>
      <c r="C186" s="35"/>
      <c r="D186" s="35"/>
      <c r="E186" s="35"/>
      <c r="F186" s="35"/>
      <c r="G186" s="35"/>
      <c r="H186" s="35"/>
      <c r="I186" s="35"/>
      <c r="J186" s="35"/>
      <c r="K186" s="35"/>
      <c r="L186" s="11"/>
      <c r="M186" s="11"/>
      <c r="N186" s="11"/>
      <c r="O186" s="37"/>
      <c r="P186" s="38" t="n">
        <f aca="false">N186-O186</f>
        <v>0</v>
      </c>
      <c r="Q186" s="35"/>
      <c r="R186" s="35"/>
      <c r="S186" s="39"/>
      <c r="T186" s="40"/>
      <c r="U186" s="35"/>
    </row>
    <row r="187" customFormat="false" ht="15" hidden="false" customHeight="true" outlineLevel="0" collapsed="false">
      <c r="A187" s="35"/>
      <c r="B187" s="36"/>
      <c r="C187" s="35"/>
      <c r="D187" s="35"/>
      <c r="E187" s="35"/>
      <c r="F187" s="35"/>
      <c r="G187" s="35"/>
      <c r="H187" s="35"/>
      <c r="I187" s="35"/>
      <c r="J187" s="35"/>
      <c r="K187" s="35"/>
      <c r="L187" s="11"/>
      <c r="M187" s="11"/>
      <c r="N187" s="11"/>
      <c r="O187" s="37"/>
      <c r="P187" s="38" t="n">
        <f aca="false">N187-O187</f>
        <v>0</v>
      </c>
      <c r="Q187" s="35"/>
      <c r="R187" s="35"/>
      <c r="S187" s="39"/>
      <c r="T187" s="40"/>
      <c r="U187" s="35"/>
    </row>
    <row r="188" customFormat="false" ht="15" hidden="false" customHeight="true" outlineLevel="0" collapsed="false">
      <c r="A188" s="35"/>
      <c r="B188" s="36"/>
      <c r="C188" s="35"/>
      <c r="D188" s="35"/>
      <c r="E188" s="35"/>
      <c r="F188" s="35"/>
      <c r="G188" s="35"/>
      <c r="H188" s="35"/>
      <c r="I188" s="35"/>
      <c r="J188" s="35"/>
      <c r="K188" s="35"/>
      <c r="L188" s="11"/>
      <c r="M188" s="11"/>
      <c r="N188" s="11"/>
      <c r="O188" s="37"/>
      <c r="P188" s="38" t="n">
        <f aca="false">N188-O188</f>
        <v>0</v>
      </c>
      <c r="Q188" s="35"/>
      <c r="R188" s="35"/>
      <c r="S188" s="39"/>
      <c r="T188" s="40"/>
      <c r="U188" s="35"/>
    </row>
    <row r="189" customFormat="false" ht="15" hidden="false" customHeight="true" outlineLevel="0" collapsed="false">
      <c r="A189" s="35"/>
      <c r="B189" s="36"/>
      <c r="C189" s="35"/>
      <c r="D189" s="35"/>
      <c r="E189" s="35"/>
      <c r="F189" s="35"/>
      <c r="G189" s="35"/>
      <c r="H189" s="35"/>
      <c r="I189" s="35"/>
      <c r="J189" s="35"/>
      <c r="K189" s="35"/>
      <c r="L189" s="11"/>
      <c r="M189" s="11"/>
      <c r="N189" s="11"/>
      <c r="O189" s="37"/>
      <c r="P189" s="38" t="n">
        <f aca="false">N189-O189</f>
        <v>0</v>
      </c>
      <c r="Q189" s="35"/>
      <c r="R189" s="35"/>
      <c r="S189" s="39"/>
      <c r="T189" s="40"/>
      <c r="U189" s="35"/>
    </row>
    <row r="190" customFormat="false" ht="15" hidden="false" customHeight="true" outlineLevel="0" collapsed="false">
      <c r="A190" s="35"/>
      <c r="B190" s="36"/>
      <c r="C190" s="35"/>
      <c r="D190" s="35"/>
      <c r="E190" s="35"/>
      <c r="F190" s="35"/>
      <c r="G190" s="35"/>
      <c r="H190" s="35"/>
      <c r="I190" s="35"/>
      <c r="J190" s="35"/>
      <c r="K190" s="35"/>
      <c r="L190" s="11"/>
      <c r="M190" s="11"/>
      <c r="N190" s="11"/>
      <c r="O190" s="37"/>
      <c r="P190" s="38" t="n">
        <f aca="false">N190-O190</f>
        <v>0</v>
      </c>
      <c r="Q190" s="35"/>
      <c r="R190" s="35"/>
      <c r="S190" s="39"/>
      <c r="T190" s="40"/>
      <c r="U190" s="35"/>
    </row>
    <row r="191" customFormat="false" ht="15" hidden="false" customHeight="true" outlineLevel="0" collapsed="false">
      <c r="A191" s="35"/>
      <c r="B191" s="36"/>
      <c r="C191" s="35"/>
      <c r="D191" s="35"/>
      <c r="E191" s="35"/>
      <c r="F191" s="35"/>
      <c r="G191" s="35"/>
      <c r="H191" s="35"/>
      <c r="I191" s="35"/>
      <c r="J191" s="35"/>
      <c r="K191" s="35"/>
      <c r="L191" s="11"/>
      <c r="M191" s="11"/>
      <c r="N191" s="11"/>
      <c r="O191" s="37"/>
      <c r="P191" s="38" t="n">
        <f aca="false">N191-O191</f>
        <v>0</v>
      </c>
      <c r="Q191" s="35"/>
      <c r="R191" s="35"/>
      <c r="S191" s="39"/>
      <c r="T191" s="40"/>
      <c r="U191" s="35"/>
    </row>
    <row r="192" customFormat="false" ht="15" hidden="false" customHeight="true" outlineLevel="0" collapsed="false">
      <c r="A192" s="35"/>
      <c r="B192" s="36"/>
      <c r="C192" s="35"/>
      <c r="D192" s="35"/>
      <c r="E192" s="35"/>
      <c r="F192" s="35"/>
      <c r="G192" s="35"/>
      <c r="H192" s="35"/>
      <c r="I192" s="35"/>
      <c r="J192" s="35"/>
      <c r="K192" s="35"/>
      <c r="L192" s="11"/>
      <c r="M192" s="11"/>
      <c r="N192" s="11"/>
      <c r="O192" s="37"/>
      <c r="P192" s="38" t="n">
        <f aca="false">N192-O192</f>
        <v>0</v>
      </c>
      <c r="Q192" s="35"/>
      <c r="R192" s="35"/>
      <c r="S192" s="39"/>
      <c r="T192" s="40"/>
      <c r="U192" s="35"/>
    </row>
    <row r="193" customFormat="false" ht="15" hidden="false" customHeight="true" outlineLevel="0" collapsed="false">
      <c r="A193" s="35"/>
      <c r="B193" s="36"/>
      <c r="C193" s="35"/>
      <c r="D193" s="35"/>
      <c r="E193" s="35"/>
      <c r="F193" s="35"/>
      <c r="G193" s="35"/>
      <c r="H193" s="35"/>
      <c r="I193" s="35"/>
      <c r="J193" s="35"/>
      <c r="K193" s="35"/>
      <c r="L193" s="11"/>
      <c r="M193" s="11"/>
      <c r="N193" s="11"/>
      <c r="O193" s="37"/>
      <c r="P193" s="38" t="n">
        <f aca="false">N193-O193</f>
        <v>0</v>
      </c>
      <c r="Q193" s="35"/>
      <c r="R193" s="35"/>
      <c r="S193" s="39"/>
      <c r="T193" s="40"/>
      <c r="U193" s="35"/>
    </row>
    <row r="194" customFormat="false" ht="15" hidden="false" customHeight="true" outlineLevel="0" collapsed="false">
      <c r="A194" s="35"/>
      <c r="B194" s="36"/>
      <c r="C194" s="35"/>
      <c r="D194" s="35"/>
      <c r="E194" s="35"/>
      <c r="F194" s="35"/>
      <c r="G194" s="35"/>
      <c r="H194" s="35"/>
      <c r="I194" s="35"/>
      <c r="J194" s="35"/>
      <c r="K194" s="35"/>
      <c r="L194" s="11"/>
      <c r="M194" s="11"/>
      <c r="N194" s="11"/>
      <c r="O194" s="37"/>
      <c r="P194" s="38" t="n">
        <f aca="false">N194-O194</f>
        <v>0</v>
      </c>
      <c r="Q194" s="35"/>
      <c r="R194" s="35"/>
      <c r="S194" s="39"/>
      <c r="T194" s="40"/>
      <c r="U194" s="35"/>
    </row>
    <row r="195" customFormat="false" ht="15" hidden="false" customHeight="true" outlineLevel="0" collapsed="false">
      <c r="A195" s="35"/>
      <c r="B195" s="36"/>
      <c r="C195" s="35"/>
      <c r="D195" s="35"/>
      <c r="E195" s="35"/>
      <c r="F195" s="35"/>
      <c r="G195" s="35"/>
      <c r="H195" s="35"/>
      <c r="I195" s="35"/>
      <c r="J195" s="35"/>
      <c r="K195" s="35"/>
      <c r="L195" s="11"/>
      <c r="M195" s="11"/>
      <c r="N195" s="11"/>
      <c r="O195" s="37"/>
      <c r="P195" s="38" t="n">
        <f aca="false">N195-O195</f>
        <v>0</v>
      </c>
      <c r="Q195" s="35"/>
      <c r="R195" s="35"/>
      <c r="S195" s="39"/>
      <c r="T195" s="40"/>
      <c r="U195" s="35"/>
    </row>
    <row r="196" customFormat="false" ht="15" hidden="false" customHeight="true" outlineLevel="0" collapsed="false">
      <c r="A196" s="35"/>
      <c r="B196" s="36"/>
      <c r="C196" s="35"/>
      <c r="D196" s="35"/>
      <c r="E196" s="35"/>
      <c r="F196" s="35"/>
      <c r="G196" s="35"/>
      <c r="H196" s="35"/>
      <c r="I196" s="35"/>
      <c r="J196" s="35"/>
      <c r="K196" s="35"/>
      <c r="L196" s="11"/>
      <c r="M196" s="11"/>
      <c r="N196" s="11"/>
      <c r="O196" s="37"/>
      <c r="P196" s="38" t="n">
        <f aca="false">N196-O196</f>
        <v>0</v>
      </c>
      <c r="Q196" s="35"/>
      <c r="R196" s="35"/>
      <c r="S196" s="39"/>
      <c r="T196" s="40"/>
      <c r="U196" s="35"/>
    </row>
    <row r="197" customFormat="false" ht="15" hidden="false" customHeight="true" outlineLevel="0" collapsed="false">
      <c r="A197" s="35"/>
      <c r="B197" s="36"/>
      <c r="C197" s="35"/>
      <c r="D197" s="35"/>
      <c r="E197" s="35"/>
      <c r="F197" s="35"/>
      <c r="G197" s="35"/>
      <c r="H197" s="35"/>
      <c r="I197" s="35"/>
      <c r="J197" s="35"/>
      <c r="K197" s="35"/>
      <c r="L197" s="11"/>
      <c r="M197" s="11"/>
      <c r="N197" s="11"/>
      <c r="O197" s="37"/>
      <c r="P197" s="38" t="n">
        <f aca="false">N197-O197</f>
        <v>0</v>
      </c>
      <c r="Q197" s="35"/>
      <c r="R197" s="35"/>
      <c r="S197" s="39"/>
      <c r="T197" s="40"/>
      <c r="U197" s="35"/>
    </row>
    <row r="198" customFormat="false" ht="15" hidden="false" customHeight="true" outlineLevel="0" collapsed="false">
      <c r="A198" s="35"/>
      <c r="B198" s="36"/>
      <c r="C198" s="35"/>
      <c r="D198" s="35"/>
      <c r="E198" s="35"/>
      <c r="F198" s="35"/>
      <c r="G198" s="35"/>
      <c r="H198" s="35"/>
      <c r="I198" s="35"/>
      <c r="J198" s="35"/>
      <c r="K198" s="35"/>
      <c r="L198" s="11"/>
      <c r="M198" s="11"/>
      <c r="N198" s="11"/>
      <c r="O198" s="37"/>
      <c r="P198" s="38" t="n">
        <f aca="false">N198-O198</f>
        <v>0</v>
      </c>
      <c r="Q198" s="35"/>
      <c r="R198" s="35"/>
      <c r="S198" s="39"/>
      <c r="T198" s="40"/>
      <c r="U198" s="35"/>
    </row>
    <row r="199" customFormat="false" ht="15" hidden="false" customHeight="true" outlineLevel="0" collapsed="false">
      <c r="A199" s="35"/>
      <c r="B199" s="36"/>
      <c r="C199" s="35"/>
      <c r="D199" s="35"/>
      <c r="E199" s="35"/>
      <c r="F199" s="35"/>
      <c r="G199" s="35"/>
      <c r="H199" s="35"/>
      <c r="I199" s="35"/>
      <c r="J199" s="35"/>
      <c r="K199" s="35"/>
      <c r="L199" s="11"/>
      <c r="M199" s="11"/>
      <c r="N199" s="11"/>
      <c r="O199" s="37"/>
      <c r="P199" s="38" t="n">
        <f aca="false">N199-O199</f>
        <v>0</v>
      </c>
      <c r="Q199" s="35"/>
      <c r="R199" s="35"/>
      <c r="S199" s="39"/>
      <c r="T199" s="40"/>
      <c r="U199" s="35"/>
    </row>
    <row r="200" customFormat="false" ht="15" hidden="false" customHeight="true" outlineLevel="0" collapsed="false">
      <c r="A200" s="35"/>
      <c r="B200" s="36"/>
      <c r="C200" s="35"/>
      <c r="D200" s="35"/>
      <c r="E200" s="35"/>
      <c r="F200" s="35"/>
      <c r="G200" s="35"/>
      <c r="H200" s="35"/>
      <c r="I200" s="35"/>
      <c r="J200" s="35"/>
      <c r="K200" s="35"/>
      <c r="L200" s="11"/>
      <c r="M200" s="11"/>
      <c r="N200" s="11"/>
      <c r="O200" s="37"/>
      <c r="P200" s="38" t="n">
        <f aca="false">N200-O200</f>
        <v>0</v>
      </c>
      <c r="Q200" s="35"/>
      <c r="R200" s="35"/>
      <c r="S200" s="39"/>
      <c r="T200" s="40"/>
      <c r="U200" s="35"/>
    </row>
    <row r="201" customFormat="false" ht="15" hidden="false" customHeight="true" outlineLevel="0" collapsed="false">
      <c r="K201" s="41" t="s">
        <v>446</v>
      </c>
      <c r="L201" s="42" t="n">
        <f aca="false">SUM(L3:L200)</f>
        <v>369617.12</v>
      </c>
      <c r="M201" s="42" t="n">
        <f aca="false">SUM(M3:M200)</f>
        <v>66531.08</v>
      </c>
      <c r="N201" s="42" t="n">
        <f aca="false">SUM(N3:N200)</f>
        <v>436148.2</v>
      </c>
      <c r="O201" s="42" t="n">
        <f aca="false">SUM(O3:O200)</f>
        <v>12372.58</v>
      </c>
      <c r="P201" s="42" t="n">
        <f aca="false">SUM(P3:P200)</f>
        <v>423775.62</v>
      </c>
    </row>
  </sheetData>
  <autoFilter ref="A2:U200"/>
  <mergeCells count="1">
    <mergeCell ref="A1:U1"/>
  </mergeCells>
  <conditionalFormatting sqref="R3:R200">
    <cfRule type="expression" priority="2" aboveAverage="0" equalAverage="0" bottom="0" percent="0" rank="0" text="" dxfId="10">
      <formula>$R3="Paid"</formula>
    </cfRule>
    <cfRule type="expression" priority="3" aboveAverage="0" equalAverage="0" bottom="0" percent="0" rank="0" text="" dxfId="11">
      <formula>$R3="Partial"</formula>
    </cfRule>
    <cfRule type="expression" priority="4" aboveAverage="0" equalAverage="0" bottom="0" percent="0" rank="0" text="" dxfId="11">
      <formula>$R3="Pending"</formula>
    </cfRule>
    <cfRule type="expression" priority="5" aboveAverage="0" equalAverage="0" bottom="0" percent="0" rank="0" text="" dxfId="12">
      <formula>$R3="Awaiting Confirmation"</formula>
    </cfRule>
    <cfRule type="expression" priority="6" aboveAverage="0" equalAverage="0" bottom="0" percent="0" rank="0" text="" dxfId="13">
      <formula>$R3="Credit Note"</formula>
    </cfRule>
  </conditionalFormatting>
  <dataValidations count="5">
    <dataValidation allowBlank="true" errorStyle="stop" operator="between" showDropDown="false" showErrorMessage="false" showInputMessage="false" sqref="G3:G200" type="list">
      <formula1>"Quotation,Invoice,Delivery-Invoice,Credit Note"</formula1>
      <formula2>0</formula2>
    </dataValidation>
    <dataValidation allowBlank="true" errorStyle="stop" operator="between" showDropDown="false" showErrorMessage="false" showInputMessage="false" sqref="J3:J200" type="list">
      <formula1>"Supply Only,Supply &amp; Install,Service"</formula1>
      <formula2>0</formula2>
    </dataValidation>
    <dataValidation allowBlank="true" errorStyle="stop" operator="between" showDropDown="false" showErrorMessage="false" showInputMessage="false" sqref="K3:K200" type="list">
      <formula1>"Yes,No,N/A"</formula1>
      <formula2>0</formula2>
    </dataValidation>
    <dataValidation allowBlank="true" errorStyle="stop" operator="between" showDropDown="false" showErrorMessage="false" showInputMessage="false" sqref="Q3:Q200" type="list">
      <formula1>"On Delivery,On Completion,Deposit on Confirmation,Paid in Full,See Notes"</formula1>
      <formula2>0</formula2>
    </dataValidation>
    <dataValidation allowBlank="true" errorStyle="stop" operator="between" showDropDown="false" showErrorMessage="false" showInputMessage="false" sqref="R3:R200" type="list">
      <formula1>"Awaiting Confirmation,Pending,Partial,Paid,Credit Note"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>
      <c r="A42" s="17" t="s">
        <v>900</v>
      </c>
      <c r="B42" s="19" t="s">
        <v>876</v>
      </c>
      <c r="C42" s="19" t="s">
        <v>901</v>
      </c>
      <c r="D42" s="20" t="s">
        <v>877</v>
      </c>
      <c r="E42" s="43"/>
      <c r="F42" s="19" t="s">
        <v>483</v>
      </c>
      <c r="G42" s="44">
        <v>46070</v>
      </c>
      <c r="H42" s="17">
        <f>COUNTIF('Orders &amp; Payments'!$C$3:$C$200,$B42)</f>
      </c>
      <c r="I42" s="21">
        <f>SUMIFS('Orders &amp; Payments'!$N$3:$N$200,'Orders &amp; Payments'!$C$3:$C$200,$B42,'Orders &amp; Payments'!$G$3:$G$200,"Quotation")</f>
      </c>
      <c r="J42" s="21">
        <f>SUMIFS('Orders &amp; Payments'!$N$3:$N$200,'Orders &amp; Payments'!$C$3:$C$200,$B42,'Orders &amp; Payments'!$G$3:$G$200,"Invoice")+SUMIFS('Orders &amp; Payments'!$N$3:$N$200,'Orders &amp; Payments'!$C$3:$C$200,$B42,'Orders &amp; Payments'!$G$3:$G$200,"Delivery-Invoice")</f>
      </c>
      <c r="K42" s="21">
        <f>SUMIFS('Orders &amp; Payments'!$O$3:$O$200,'Orders &amp; Payments'!$C$3:$C$200,$B42)</f>
      </c>
      <c r="L42" s="23">
        <f>SUMIFS('Orders &amp; Payments'!$P$3:$P$200,'Orders &amp; Payments'!$C$3:$C$200,$B42,'Orders &amp; Payments'!$G$3:$G$200,"Invoice")+SUMIFS('Orders &amp; Payments'!$P$3:$P$200,'Orders &amp; Payments'!$C$3:$C$200,$B42,'Orders &amp; Payments'!$G$3:$G$200,"Delivery-Invoice")</f>
      </c>
    </row>
    <row r="43">
      <c r="A43" s="17" t="s">
        <v>902</v>
      </c>
      <c r="B43" s="19" t="s">
        <v>886</v>
      </c>
      <c r="C43" s="19" t="s">
        <v>499</v>
      </c>
      <c r="D43" s="20" t="s">
        <v>887</v>
      </c>
      <c r="E43" s="43"/>
      <c r="F43" s="19" t="s">
        <v>903</v>
      </c>
      <c r="G43" s="44">
        <v>46071</v>
      </c>
      <c r="H43" s="17">
        <f>COUNTIF('Orders &amp; Payments'!$C$3:$C$200,$B43)</f>
      </c>
      <c r="I43" s="21">
        <f>SUMIFS('Orders &amp; Payments'!$N$3:$N$200,'Orders &amp; Payments'!$C$3:$C$200,$B43,'Orders &amp; Payments'!$G$3:$G$200,"Quotation")</f>
      </c>
      <c r="J43" s="21">
        <f>SUMIFS('Orders &amp; Payments'!$N$3:$N$200,'Orders &amp; Payments'!$C$3:$C$200,$B43,'Orders &amp; Payments'!$G$3:$G$200,"Invoice")+SUMIFS('Orders &amp; Payments'!$N$3:$N$200,'Orders &amp; Payments'!$C$3:$C$200,$B43,'Orders &amp; Payments'!$G$3:$G$200,"Delivery-Invoice")</f>
      </c>
      <c r="K43" s="21">
        <f>SUMIFS('Orders &amp; Payments'!$O$3:$O$200,'Orders &amp; Payments'!$C$3:$C$200,$B43)</f>
      </c>
      <c r="L43" s="23">
        <f>SUMIFS('Orders &amp; Payments'!$P$3:$P$200,'Orders &amp; Payments'!$C$3:$C$200,$B43,'Orders &amp; Payments'!$G$3:$G$200,"Invoice")+SUMIFS('Orders &amp; Payments'!$P$3:$P$200,'Orders &amp; Payments'!$C$3:$C$200,$B43,'Orders &amp; Payments'!$G$3:$G$200,"Delivery-Invoice")</f>
      </c>
    </row>
    <row r="44">
      <c r="A44" s="17" t="s">
        <v>904</v>
      </c>
      <c r="B44" s="19" t="s">
        <v>891</v>
      </c>
      <c r="C44" s="19" t="s">
        <v>905</v>
      </c>
      <c r="D44" s="20" t="s">
        <v>892</v>
      </c>
      <c r="E44" s="43"/>
      <c r="F44" s="19" t="s">
        <v>483</v>
      </c>
      <c r="G44" s="44">
        <v>46074</v>
      </c>
      <c r="H44" s="17">
        <f>COUNTIF('Orders &amp; Payments'!$C$3:$C$200,$B44)</f>
      </c>
      <c r="I44" s="21">
        <f>SUMIFS('Orders &amp; Payments'!$N$3:$N$200,'Orders &amp; Payments'!$C$3:$C$200,$B44,'Orders &amp; Payments'!$G$3:$G$200,"Quotation")</f>
      </c>
      <c r="J44" s="21">
        <f>SUMIFS('Orders &amp; Payments'!$N$3:$N$200,'Orders &amp; Payments'!$C$3:$C$200,$B44,'Orders &amp; Payments'!$G$3:$G$200,"Invoice")+SUMIFS('Orders &amp; Payments'!$N$3:$N$200,'Orders &amp; Payments'!$C$3:$C$200,$B44,'Orders &amp; Payments'!$G$3:$G$200,"Delivery-Invoice")</f>
      </c>
      <c r="K44" s="21">
        <f>SUMIFS('Orders &amp; Payments'!$O$3:$O$200,'Orders &amp; Payments'!$C$3:$C$200,$B44)</f>
      </c>
      <c r="L44" s="23">
        <f>SUMIFS('Orders &amp; Payments'!$P$3:$P$200,'Orders &amp; Payments'!$C$3:$C$200,$B44,'Orders &amp; Payments'!$G$3:$G$200,"Invoice")+SUMIFS('Orders &amp; Payments'!$P$3:$P$200,'Orders &amp; Payments'!$C$3:$C$200,$B44,'Orders &amp; Payments'!$G$3:$G$200,"Delivery-Invoice")</f>
      </c>
    </row>
    <row r="45">
      <c r="A45" s="17" t="s">
        <v>906</v>
      </c>
      <c r="B45" s="19" t="s">
        <v>897</v>
      </c>
      <c r="C45" s="19" t="s">
        <v>499</v>
      </c>
      <c r="D45" s="20" t="s">
        <v>898</v>
      </c>
      <c r="E45" s="43"/>
      <c r="F45" s="19" t="s">
        <v>506</v>
      </c>
      <c r="G45" s="44">
        <v>46074</v>
      </c>
      <c r="H45" s="17">
        <f>COUNTIF('Orders &amp; Payments'!$C$3:$C$200,$B45)</f>
      </c>
      <c r="I45" s="21">
        <f>SUMIFS('Orders &amp; Payments'!$N$3:$N$200,'Orders &amp; Payments'!$C$3:$C$200,$B45,'Orders &amp; Payments'!$G$3:$G$200,"Quotation")</f>
      </c>
      <c r="J45" s="21">
        <f>SUMIFS('Orders &amp; Payments'!$N$3:$N$200,'Orders &amp; Payments'!$C$3:$C$200,$B45,'Orders &amp; Payments'!$G$3:$G$200,"Invoice")+SUMIFS('Orders &amp; Payments'!$N$3:$N$200,'Orders &amp; Payments'!$C$3:$C$200,$B45,'Orders &amp; Payments'!$G$3:$G$200,"Delivery-Invoice")</f>
      </c>
      <c r="K45" s="21">
        <f>SUMIFS('Orders &amp; Payments'!$O$3:$O$200,'Orders &amp; Payments'!$C$3:$C$200,$B45)</f>
      </c>
      <c r="L45" s="23">
        <f>SUMIFS('Orders &amp; Payments'!$P$3:$P$200,'Orders &amp; Payments'!$C$3:$C$200,$B45,'Orders &amp; Payments'!$G$3:$G$200,"Invoice")+SUMIFS('Orders &amp; Payments'!$P$3:$P$200,'Orders &amp; Payments'!$C$3:$C$200,$B45,'Orders &amp; Payments'!$G$3:$G$200,"Delivery-Invoice")</f>
      </c>
    </row>
    <row r="46">
      <c r="A46" t="s">
        <v>932</v>
      </c>
      <c r="B46" t="s">
        <v>200</v>
      </c>
      <c r="C46" t="s">
        <v>536</v>
      </c>
      <c r="D46" t="s">
        <v>920</v>
      </c>
      <c r="F46" t="s">
        <v>951</v>
      </c>
      <c r="G46">
        <v>46078</v>
      </c>
      <c r="H46">
        <f>COUNTIF('Orders &amp; Payments'!$C$3:$C$200,$B46)</f>
      </c>
      <c r="I46">
        <f>SUMIFS('Orders &amp; Payments'!$N$3:$N$200,'Orders &amp; Payments'!$C$3:$C$200,$B46,'Orders &amp; Payments'!$G$3:$G$200,"Quotation")</f>
      </c>
      <c r="J46">
        <f>SUMIFS('Orders &amp; Payments'!$N$3:$N$200,'Orders &amp; Payments'!$C$3:$C$200,$B46,'Orders &amp; Payments'!$G$3:$G$200,"Invoice")+SUMIFS('Orders &amp; Payments'!$N$3:$N$200,'Orders &amp; Payments'!$C$3:$C$200,$B46,'Orders &amp; Payments'!$G$3:$G$200,"Delivery-Invoice")</f>
      </c>
      <c r="K46">
        <f>SUMIFS('Orders &amp; Payments'!$O$3:$O$200,'Orders &amp; Payments'!$C$3:$C$200,$B46)</f>
      </c>
      <c r="L46">
        <f>SUMIFS('Orders &amp; Payments'!$P$3:$P$200,'Orders &amp; Payments'!$C$3:$C$200,$B46,'Orders &amp; Payments'!$G$3:$G$200,"Invoice")+SUMIFS('Orders &amp; Payments'!$P$3:$P$200,'Orders &amp; Payments'!$C$3:$C$200,$B46,'Orders &amp; Payments'!$G$3:$G$200,"Delivery-Invoice")</f>
      </c>
    </row>
    <row r="47">
      <c r="A47" t="s">
        <v>933</v>
      </c>
      <c r="B47" t="s">
        <v>922</v>
      </c>
      <c r="C47" t="s">
        <v>936</v>
      </c>
      <c r="D47" t="s">
        <v>163</v>
      </c>
      <c r="F47" t="s">
        <v>506</v>
      </c>
      <c r="G47">
        <v>46076</v>
      </c>
      <c r="H47">
        <f>COUNTIF('Orders &amp; Payments'!$C$3:$C$200,$B47)</f>
      </c>
      <c r="I47">
        <f>SUMIFS('Orders &amp; Payments'!$N$3:$N$200,'Orders &amp; Payments'!$C$3:$C$200,$B47,'Orders &amp; Payments'!$G$3:$G$200,"Quotation")</f>
      </c>
      <c r="J47">
        <f>SUMIFS('Orders &amp; Payments'!$N$3:$N$200,'Orders &amp; Payments'!$C$3:$C$200,$B47,'Orders &amp; Payments'!$G$3:$G$200,"Invoice")+SUMIFS('Orders &amp; Payments'!$N$3:$N$200,'Orders &amp; Payments'!$C$3:$C$200,$B47,'Orders &amp; Payments'!$G$3:$G$200,"Delivery-Invoice")</f>
      </c>
      <c r="K47">
        <f>SUMIFS('Orders &amp; Payments'!$O$3:$O$200,'Orders &amp; Payments'!$C$3:$C$200,$B47)</f>
      </c>
      <c r="L47">
        <f>SUMIFS('Orders &amp; Payments'!$P$3:$P$200,'Orders &amp; Payments'!$C$3:$C$200,$B47,'Orders &amp; Payments'!$G$3:$G$200,"Invoice")+SUMIFS('Orders &amp; Payments'!$P$3:$P$200,'Orders &amp; Payments'!$C$3:$C$200,$B47,'Orders &amp; Payments'!$G$3:$G$200,"Delivery-Invoice")</f>
      </c>
    </row>
    <row r="48">
      <c r="A48" t="s">
        <v>934</v>
      </c>
      <c r="B48" t="s">
        <v>925</v>
      </c>
      <c r="D48" t="s">
        <v>926</v>
      </c>
      <c r="F48" t="s">
        <v>506</v>
      </c>
      <c r="G48">
        <v>46079</v>
      </c>
      <c r="H48">
        <f>COUNTIF('Orders &amp; Payments'!$C$3:$C$200,$B48)</f>
      </c>
      <c r="I48">
        <f>SUMIFS('Orders &amp; Payments'!$N$3:$N$200,'Orders &amp; Payments'!$C$3:$C$200,$B48,'Orders &amp; Payments'!$G$3:$G$200,"Quotation")</f>
      </c>
      <c r="J48">
        <f>SUMIFS('Orders &amp; Payments'!$N$3:$N$200,'Orders &amp; Payments'!$C$3:$C$200,$B48,'Orders &amp; Payments'!$G$3:$G$200,"Invoice")+SUMIFS('Orders &amp; Payments'!$N$3:$N$200,'Orders &amp; Payments'!$C$3:$C$200,$B48,'Orders &amp; Payments'!$G$3:$G$200,"Delivery-Invoice")</f>
      </c>
      <c r="K48">
        <f>SUMIFS('Orders &amp; Payments'!$O$3:$O$200,'Orders &amp; Payments'!$C$3:$C$200,$B48)</f>
      </c>
      <c r="L48">
        <f>SUMIFS('Orders &amp; Payments'!$P$3:$P$200,'Orders &amp; Payments'!$C$3:$C$200,$B48,'Orders &amp; Payments'!$G$3:$G$200,"Invoice")+SUMIFS('Orders &amp; Payments'!$P$3:$P$200,'Orders &amp; Payments'!$C$3:$C$200,$B48,'Orders &amp; Payments'!$G$3:$G$200,"Delivery-Invoice")</f>
      </c>
    </row>
    <row r="49">
      <c r="A49" t="s">
        <v>935</v>
      </c>
      <c r="B49" t="s">
        <v>915</v>
      </c>
      <c r="D49" t="s">
        <v>69</v>
      </c>
      <c r="F49" t="s">
        <v>506</v>
      </c>
      <c r="G49">
        <v>46074</v>
      </c>
      <c r="H49">
        <f>COUNTIF('Orders &amp; Payments'!$C$3:$C$200,$B49)</f>
      </c>
      <c r="I49">
        <f>SUMIFS('Orders &amp; Payments'!$N$3:$N$200,'Orders &amp; Payments'!$C$3:$C$200,$B49,'Orders &amp; Payments'!$G$3:$G$200,"Quotation")</f>
      </c>
      <c r="J49">
        <f>SUMIFS('Orders &amp; Payments'!$N$3:$N$200,'Orders &amp; Payments'!$C$3:$C$200,$B49,'Orders &amp; Payments'!$G$3:$G$200,"Invoice")+SUMIFS('Orders &amp; Payments'!$N$3:$N$200,'Orders &amp; Payments'!$C$3:$C$200,$B49,'Orders &amp; Payments'!$G$3:$G$200,"Delivery-Invoice")</f>
      </c>
      <c r="K49">
        <f>SUMIFS('Orders &amp; Payments'!$O$3:$O$200,'Orders &amp; Payments'!$C$3:$C$200,$B49)</f>
      </c>
      <c r="L49">
        <f>SUMIFS('Orders &amp; Payments'!$P$3:$P$200,'Orders &amp; Payments'!$C$3:$C$200,$B49,'Orders &amp; Payments'!$G$3:$G$200,"Invoice")+SUMIFS('Orders &amp; Payments'!$P$3:$P$200,'Orders &amp; Payments'!$C$3:$C$200,$B49,'Orders &amp; Payments'!$G$3:$G$200,"Delivery-Invoice")</f>
      </c>
    </row>
    <row r="50" customFormat="false" ht="15" hidden="false" customHeight="false" outlineLevel="0" collapsed="false">
      <c r="H50" s="51" t="s">
        <v>446</v>
      </c>
      <c r="I50" s="52" t="n">
        <f aca="false">SUM(I3:I49)</f>
        <v>286888.31</v>
      </c>
      <c r="J50" s="52" t="n">
        <f aca="false">SUM(J3:J49)</f>
        <v>139259.89</v>
      </c>
      <c r="K50" s="52" t="n">
        <f aca="false">SUM(K3:K49)</f>
        <v>12372.58</v>
      </c>
      <c r="L50" s="52" t="n">
        <f aca="false">SUM(L3:L49)</f>
        <v>126887.31</v>
      </c>
    </row>
  </sheetData>
  <autoFilter ref="A2:M32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19" t="s">
        <v>609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>
      <c r="A42" t="s">
        <v>907</v>
      </c>
      <c r="B42">
        <v>46074</v>
      </c>
      <c r="C42" t="s">
        <v>897</v>
      </c>
      <c r="E42" t="s">
        <v>898</v>
      </c>
      <c r="F42" t="s">
        <v>908</v>
      </c>
      <c r="G42" t="s">
        <v>609</v>
      </c>
      <c r="I42">
        <v>317</v>
      </c>
      <c r="J42">
        <v>551.65</v>
      </c>
      <c r="K42">
        <f>IF(J42="","",ROUND(J42*$R$2,2))</f>
      </c>
      <c r="L42" t="s">
        <v>49</v>
      </c>
      <c r="O42" t="s">
        <v>909</v>
      </c>
    </row>
    <row r="43">
      <c r="A43" t="s">
        <v>938</v>
      </c>
      <c r="B43">
        <v>46074</v>
      </c>
      <c r="C43" t="s">
        <v>915</v>
      </c>
      <c r="E43" t="s">
        <v>69</v>
      </c>
      <c r="F43" t="s">
        <v>916</v>
      </c>
      <c r="G43" t="s">
        <v>609</v>
      </c>
      <c r="I43">
        <v>318</v>
      </c>
      <c r="J43">
        <v>457.25</v>
      </c>
      <c r="K43">
        <f>IF(J43="","",ROUND(J43*$R$2,2))</f>
      </c>
      <c r="L43" t="s">
        <v>49</v>
      </c>
      <c r="O43" t="s">
        <v>919</v>
      </c>
    </row>
    <row r="44">
      <c r="A44" t="s">
        <v>939</v>
      </c>
      <c r="B44">
        <v>46076</v>
      </c>
      <c r="C44" t="s">
        <v>922</v>
      </c>
      <c r="E44" t="s">
        <v>163</v>
      </c>
      <c r="F44" t="s">
        <v>923</v>
      </c>
      <c r="G44" t="s">
        <v>609</v>
      </c>
      <c r="I44">
        <v>323</v>
      </c>
      <c r="J44">
        <v>24763.72</v>
      </c>
      <c r="K44">
        <f>IF(J44="","",ROUND(J44*$R$2,2))</f>
      </c>
      <c r="L44" t="s">
        <v>49</v>
      </c>
      <c r="O44" t="s">
        <v>863</v>
      </c>
    </row>
    <row r="45">
      <c r="A45" t="s">
        <v>940</v>
      </c>
      <c r="B45">
        <v>46079</v>
      </c>
      <c r="C45" t="s">
        <v>925</v>
      </c>
      <c r="E45" t="s">
        <v>926</v>
      </c>
      <c r="F45" t="s">
        <v>927</v>
      </c>
      <c r="G45" t="s">
        <v>609</v>
      </c>
      <c r="I45">
        <v>324</v>
      </c>
      <c r="J45">
        <v>5074.0</v>
      </c>
      <c r="K45">
        <f>IF(J45="","",ROUND(J45*$R$2,2))</f>
      </c>
      <c r="L45" t="s">
        <v>49</v>
      </c>
      <c r="O45" t="s">
        <v>863</v>
      </c>
    </row>
    <row r="46">
      <c r="A46" t="s">
        <v>941</v>
      </c>
      <c r="B46">
        <v>46079</v>
      </c>
      <c r="C46" t="s">
        <v>925</v>
      </c>
      <c r="E46" t="s">
        <v>926</v>
      </c>
      <c r="F46" t="s">
        <v>929</v>
      </c>
      <c r="G46" t="s">
        <v>609</v>
      </c>
      <c r="I46">
        <v>325</v>
      </c>
      <c r="J46">
        <v>7882.4</v>
      </c>
      <c r="K46">
        <f>IF(J46="","",ROUND(J46*$R$2,2))</f>
      </c>
      <c r="L46" t="s">
        <v>49</v>
      </c>
      <c r="O46" t="s">
        <v>931</v>
      </c>
    </row>
    <row r="47" customFormat="false" ht="15" hidden="false" customHeight="true" outlineLevel="0" collapsed="false">
      <c r="A47" s="35"/>
      <c r="B47" s="36"/>
      <c r="C47" s="35"/>
      <c r="D47" s="39"/>
      <c r="E47" s="35"/>
      <c r="F47" s="35"/>
      <c r="G47" s="35"/>
      <c r="H47" s="40"/>
      <c r="I47" s="35"/>
      <c r="J47" s="11"/>
      <c r="K47" s="11" t="str">
        <f aca="false">IF(J47="","",ROUND(J47*$R$2,2))</f>
        <v/>
      </c>
      <c r="L47" s="35"/>
      <c r="M47" s="39"/>
      <c r="N47" s="40"/>
      <c r="O47" s="35"/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8C00"/>
  </sheetPr>
  <sheetViews>
    <sheetView workbookViewId="0"/>
  </sheetViews>
  <sheetFormatPr defaultRowHeight="15"/>
  <cols>
    <col min="1" max="1" width="25" bestFit="true" customWidth="true"/>
    <col min="2" max="2" width="15" customWidth="true"/>
    <col min="3" max="3" width="12" customWidth="true"/>
    <col min="4" max="4" width="20" customWidth="true"/>
    <col min="5" max="5" width="30" customWidth="true"/>
    <col min="6" max="6" width="8" customWidth="true"/>
    <col min="7" max="7" width="10" customWidth="true"/>
    <col min="8" max="8" width="14" customWidth="true"/>
    <col min="9" max="9" width="14" customWidth="true"/>
    <col min="10" max="10" width="15" customWidth="true"/>
    <col min="11" max="11" width="30" customWidth="true"/>
  </cols>
  <sheetData>
    <row r="1" ht="20" customHeight="true">
      <c r="A1" s="72" t="s">
        <v>953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ht="18" customHeight="true">
      <c r="A2" s="73" t="s">
        <v>25</v>
      </c>
      <c r="B2" s="73" t="s">
        <v>954</v>
      </c>
      <c r="C2" s="73" t="s">
        <v>24</v>
      </c>
      <c r="D2" s="73" t="s">
        <v>955</v>
      </c>
      <c r="E2" s="73" t="s">
        <v>956</v>
      </c>
      <c r="F2" s="73" t="s">
        <v>957</v>
      </c>
      <c r="G2" s="73" t="s">
        <v>958</v>
      </c>
      <c r="H2" s="73" t="s">
        <v>959</v>
      </c>
      <c r="I2" s="73" t="s">
        <v>960</v>
      </c>
      <c r="J2" s="73" t="s">
        <v>32</v>
      </c>
      <c r="K2" s="73" t="s">
        <v>43</v>
      </c>
    </row>
    <row r="3" ht="15" customHeight="true">
      <c r="A3" s="77" t="s">
        <v>925</v>
      </c>
      <c r="B3" s="77" t="s">
        <v>926</v>
      </c>
      <c r="C3" s="77"/>
      <c r="D3" s="77"/>
      <c r="E3" s="77"/>
      <c r="F3" s="77"/>
      <c r="G3" s="77"/>
      <c r="H3" s="77"/>
      <c r="I3" s="77"/>
      <c r="J3" s="77"/>
      <c r="K3" s="77"/>
    </row>
    <row r="4" ht="15" customHeight="true">
      <c r="A4" s="74" t="s">
        <v>925</v>
      </c>
      <c r="B4" s="74" t="s">
        <v>963</v>
      </c>
      <c r="C4" s="75">
        <v>46079</v>
      </c>
      <c r="D4" s="74" t="s">
        <v>926</v>
      </c>
      <c r="E4" s="74" t="s">
        <v>977</v>
      </c>
      <c r="F4" s="74" t="s">
        <v>1001</v>
      </c>
      <c r="G4" s="78">
        <v>1.0</v>
      </c>
      <c r="H4" s="76">
        <v>1520.0</v>
      </c>
      <c r="I4" s="76">
        <v>1520.0</v>
      </c>
      <c r="J4" s="74" t="s">
        <v>17</v>
      </c>
      <c r="K4" s="74"/>
    </row>
    <row r="5" ht="15" customHeight="true">
      <c r="A5" s="74" t="s">
        <v>925</v>
      </c>
      <c r="B5" s="74" t="s">
        <v>963</v>
      </c>
      <c r="C5" s="75">
        <v>46079</v>
      </c>
      <c r="D5" s="74" t="s">
        <v>926</v>
      </c>
      <c r="E5" s="74" t="s">
        <v>228</v>
      </c>
      <c r="F5" s="74" t="s">
        <v>1001</v>
      </c>
      <c r="G5" s="78">
        <v>1.0</v>
      </c>
      <c r="H5" s="76">
        <v>1680.0</v>
      </c>
      <c r="I5" s="76">
        <v>1680.0</v>
      </c>
      <c r="J5" s="74" t="s">
        <v>17</v>
      </c>
      <c r="K5" s="74"/>
    </row>
    <row r="6" ht="15" customHeight="true">
      <c r="A6" s="74" t="s">
        <v>925</v>
      </c>
      <c r="B6" s="74" t="s">
        <v>963</v>
      </c>
      <c r="C6" s="75">
        <v>46079</v>
      </c>
      <c r="D6" s="74" t="s">
        <v>926</v>
      </c>
      <c r="E6" s="74" t="s">
        <v>978</v>
      </c>
      <c r="F6" s="74" t="s">
        <v>1001</v>
      </c>
      <c r="G6" s="78">
        <v>1.0</v>
      </c>
      <c r="H6" s="76">
        <v>1100.0</v>
      </c>
      <c r="I6" s="76">
        <v>1100.0</v>
      </c>
      <c r="J6" s="74" t="s">
        <v>978</v>
      </c>
      <c r="K6" s="74"/>
    </row>
    <row r="7" ht="15" customHeight="true">
      <c r="A7" s="74" t="s">
        <v>925</v>
      </c>
      <c r="B7" s="74" t="s">
        <v>964</v>
      </c>
      <c r="C7" s="75">
        <v>46079</v>
      </c>
      <c r="D7" s="74" t="s">
        <v>926</v>
      </c>
      <c r="E7" s="74" t="s">
        <v>203</v>
      </c>
      <c r="F7" s="74" t="s">
        <v>1001</v>
      </c>
      <c r="G7" s="78">
        <v>1.0</v>
      </c>
      <c r="H7" s="76">
        <v>960.0</v>
      </c>
      <c r="I7" s="76">
        <v>960.0</v>
      </c>
      <c r="J7" s="74" t="s">
        <v>17</v>
      </c>
      <c r="K7" s="74"/>
    </row>
    <row r="8" ht="15" customHeight="true">
      <c r="A8" s="74" t="s">
        <v>925</v>
      </c>
      <c r="B8" s="74" t="s">
        <v>964</v>
      </c>
      <c r="C8" s="75">
        <v>46079</v>
      </c>
      <c r="D8" s="74" t="s">
        <v>926</v>
      </c>
      <c r="E8" s="74" t="s">
        <v>1007</v>
      </c>
      <c r="F8" s="74" t="s">
        <v>1001</v>
      </c>
      <c r="G8" s="78">
        <v>1.0</v>
      </c>
      <c r="H8" s="76">
        <v>4440.0</v>
      </c>
      <c r="I8" s="76">
        <v>4440.0</v>
      </c>
      <c r="J8" s="74" t="s">
        <v>17</v>
      </c>
      <c r="K8" s="74"/>
    </row>
    <row r="9" ht="15" customHeight="true">
      <c r="A9" s="74" t="s">
        <v>925</v>
      </c>
      <c r="B9" s="74" t="s">
        <v>964</v>
      </c>
      <c r="C9" s="75">
        <v>46079</v>
      </c>
      <c r="D9" s="74" t="s">
        <v>926</v>
      </c>
      <c r="E9" s="74" t="s">
        <v>1000</v>
      </c>
      <c r="F9" s="74" t="s">
        <v>1001</v>
      </c>
      <c r="G9" s="78">
        <v>1.0</v>
      </c>
      <c r="H9" s="76">
        <v>1280.0</v>
      </c>
      <c r="I9" s="76">
        <v>1280.0</v>
      </c>
      <c r="J9" s="74" t="s">
        <v>978</v>
      </c>
      <c r="K9" s="74" t="s">
        <v>1004</v>
      </c>
    </row>
    <row r="10" ht="15" customHeight="true">
      <c r="A10" s="77" t="s">
        <v>897</v>
      </c>
      <c r="B10" s="77" t="s">
        <v>898</v>
      </c>
      <c r="C10" s="77"/>
      <c r="D10" s="77"/>
      <c r="E10" s="77"/>
      <c r="F10" s="77"/>
      <c r="G10" s="77"/>
      <c r="H10" s="77"/>
      <c r="I10" s="77"/>
      <c r="J10" s="77"/>
      <c r="K10" s="77"/>
    </row>
    <row r="11" ht="15" customHeight="true">
      <c r="A11" s="74" t="s">
        <v>897</v>
      </c>
      <c r="B11" s="74" t="s">
        <v>965</v>
      </c>
      <c r="C11" s="75">
        <v>46074</v>
      </c>
      <c r="D11" s="74" t="s">
        <v>898</v>
      </c>
      <c r="E11" s="74" t="s">
        <v>979</v>
      </c>
      <c r="F11" s="74" t="s">
        <v>1001</v>
      </c>
      <c r="G11" s="78">
        <v>1.0</v>
      </c>
      <c r="H11" s="76">
        <v>427.5</v>
      </c>
      <c r="I11" s="76">
        <v>427.5</v>
      </c>
      <c r="J11" s="74" t="s">
        <v>15</v>
      </c>
      <c r="K11" s="74"/>
    </row>
    <row r="12" ht="15" customHeight="true">
      <c r="A12" s="74" t="s">
        <v>897</v>
      </c>
      <c r="B12" s="74" t="s">
        <v>965</v>
      </c>
      <c r="C12" s="75">
        <v>46074</v>
      </c>
      <c r="D12" s="74" t="s">
        <v>898</v>
      </c>
      <c r="E12" s="74" t="s">
        <v>762</v>
      </c>
      <c r="F12" s="74" t="s">
        <v>1001</v>
      </c>
      <c r="G12" s="78">
        <v>1.0</v>
      </c>
      <c r="H12" s="76">
        <v>40.0</v>
      </c>
      <c r="I12" s="76">
        <v>40.0</v>
      </c>
      <c r="J12" s="74" t="s">
        <v>762</v>
      </c>
      <c r="K12" s="74"/>
    </row>
    <row r="13" ht="15" customHeight="true">
      <c r="A13" s="77" t="s">
        <v>876</v>
      </c>
      <c r="B13" s="77" t="s">
        <v>69</v>
      </c>
      <c r="C13" s="77"/>
      <c r="D13" s="77"/>
      <c r="E13" s="77"/>
      <c r="F13" s="77"/>
      <c r="G13" s="77"/>
      <c r="H13" s="77"/>
      <c r="I13" s="77"/>
      <c r="J13" s="77"/>
      <c r="K13" s="77"/>
    </row>
    <row r="14" ht="15" customHeight="true">
      <c r="A14" s="74" t="s">
        <v>876</v>
      </c>
      <c r="B14" s="74" t="s">
        <v>966</v>
      </c>
      <c r="C14" s="75">
        <v>46070</v>
      </c>
      <c r="D14" s="74" t="s">
        <v>69</v>
      </c>
      <c r="E14" s="74" t="s">
        <v>879</v>
      </c>
      <c r="F14" s="74" t="s">
        <v>1001</v>
      </c>
      <c r="G14" s="78">
        <v>1.0</v>
      </c>
      <c r="H14" s="76">
        <v>90.0</v>
      </c>
      <c r="I14" s="76">
        <v>90.0</v>
      </c>
      <c r="J14" s="74" t="s">
        <v>15</v>
      </c>
      <c r="K14" s="74"/>
    </row>
    <row r="15" ht="15" customHeight="true">
      <c r="A15" s="77" t="s">
        <v>922</v>
      </c>
      <c r="B15" s="77" t="s">
        <v>163</v>
      </c>
      <c r="C15" s="77"/>
      <c r="D15" s="77"/>
      <c r="E15" s="77"/>
      <c r="F15" s="77"/>
      <c r="G15" s="77"/>
      <c r="H15" s="77"/>
      <c r="I15" s="77"/>
      <c r="J15" s="77"/>
      <c r="K15" s="77"/>
    </row>
    <row r="16" ht="15" customHeight="true">
      <c r="A16" s="74" t="s">
        <v>922</v>
      </c>
      <c r="B16" s="74" t="s">
        <v>967</v>
      </c>
      <c r="C16" s="75">
        <v>46076</v>
      </c>
      <c r="D16" s="74" t="s">
        <v>163</v>
      </c>
      <c r="E16" s="74" t="s">
        <v>980</v>
      </c>
      <c r="F16" s="74" t="s">
        <v>1002</v>
      </c>
      <c r="G16" s="78">
        <v>35.0</v>
      </c>
      <c r="H16" s="76">
        <v>89.0</v>
      </c>
      <c r="I16" s="76">
        <v>3115.0</v>
      </c>
      <c r="J16" s="74" t="s">
        <v>15</v>
      </c>
      <c r="K16" s="74"/>
    </row>
    <row r="17" ht="15" customHeight="true">
      <c r="A17" s="74" t="s">
        <v>922</v>
      </c>
      <c r="B17" s="74" t="s">
        <v>967</v>
      </c>
      <c r="C17" s="75">
        <v>46076</v>
      </c>
      <c r="D17" s="74" t="s">
        <v>163</v>
      </c>
      <c r="E17" s="74" t="s">
        <v>981</v>
      </c>
      <c r="F17" s="74" t="s">
        <v>1002</v>
      </c>
      <c r="G17" s="78">
        <v>165.0</v>
      </c>
      <c r="H17" s="76">
        <v>89.0</v>
      </c>
      <c r="I17" s="76">
        <v>14685.0</v>
      </c>
      <c r="J17" s="74" t="s">
        <v>15</v>
      </c>
      <c r="K17" s="74"/>
    </row>
    <row r="18" ht="15" customHeight="true">
      <c r="A18" s="74" t="s">
        <v>922</v>
      </c>
      <c r="B18" s="74" t="s">
        <v>967</v>
      </c>
      <c r="C18" s="75">
        <v>46076</v>
      </c>
      <c r="D18" s="74" t="s">
        <v>163</v>
      </c>
      <c r="E18" s="74" t="s">
        <v>982</v>
      </c>
      <c r="F18" s="74" t="s">
        <v>1002</v>
      </c>
      <c r="G18" s="78">
        <v>35.8</v>
      </c>
      <c r="H18" s="76">
        <v>89.0</v>
      </c>
      <c r="I18" s="76">
        <v>3186.2</v>
      </c>
      <c r="J18" s="74" t="s">
        <v>15</v>
      </c>
      <c r="K18" s="74"/>
    </row>
    <row r="19" ht="15" customHeight="true">
      <c r="A19" s="77" t="s">
        <v>865</v>
      </c>
      <c r="B19" s="77" t="s">
        <v>866</v>
      </c>
      <c r="C19" s="77"/>
      <c r="D19" s="77"/>
      <c r="E19" s="77"/>
      <c r="F19" s="77"/>
      <c r="G19" s="77"/>
      <c r="H19" s="77"/>
      <c r="I19" s="77"/>
      <c r="J19" s="77"/>
      <c r="K19" s="77"/>
    </row>
    <row r="20" ht="15" customHeight="true">
      <c r="A20" s="74" t="s">
        <v>865</v>
      </c>
      <c r="B20" s="74" t="s">
        <v>968</v>
      </c>
      <c r="C20" s="75">
        <v>46067</v>
      </c>
      <c r="D20" s="74" t="s">
        <v>866</v>
      </c>
      <c r="E20" s="74" t="s">
        <v>983</v>
      </c>
      <c r="F20" s="74" t="s">
        <v>1002</v>
      </c>
      <c r="G20" s="78">
        <v>77.8</v>
      </c>
      <c r="H20" s="76">
        <v>70.0</v>
      </c>
      <c r="I20" s="76">
        <v>5446.0</v>
      </c>
      <c r="J20" s="74" t="s">
        <v>17</v>
      </c>
      <c r="K20" s="74"/>
    </row>
    <row r="21" ht="15" customHeight="true">
      <c r="A21" s="74" t="s">
        <v>865</v>
      </c>
      <c r="B21" s="74" t="s">
        <v>968</v>
      </c>
      <c r="C21" s="75">
        <v>46067</v>
      </c>
      <c r="D21" s="74" t="s">
        <v>866</v>
      </c>
      <c r="E21" s="74" t="s">
        <v>984</v>
      </c>
      <c r="F21" s="74" t="s">
        <v>1001</v>
      </c>
      <c r="G21" s="78">
        <v>1.0</v>
      </c>
      <c r="H21" s="76">
        <v>3890.0</v>
      </c>
      <c r="I21" s="76">
        <v>3890.0</v>
      </c>
      <c r="J21" s="74" t="s">
        <v>978</v>
      </c>
      <c r="K21" s="74"/>
    </row>
    <row r="22" ht="15" customHeight="true">
      <c r="A22" s="77" t="s">
        <v>961</v>
      </c>
      <c r="B22" s="77" t="s">
        <v>424</v>
      </c>
      <c r="C22" s="77"/>
      <c r="D22" s="77"/>
      <c r="E22" s="77"/>
      <c r="F22" s="77"/>
      <c r="G22" s="77"/>
      <c r="H22" s="77"/>
      <c r="I22" s="77"/>
      <c r="J22" s="77"/>
      <c r="K22" s="77"/>
    </row>
    <row r="23" ht="15" customHeight="true">
      <c r="A23" s="74" t="s">
        <v>961</v>
      </c>
      <c r="B23" s="74" t="s">
        <v>969</v>
      </c>
      <c r="C23" s="75">
        <v>46067</v>
      </c>
      <c r="D23" s="74" t="s">
        <v>424</v>
      </c>
      <c r="E23" s="74" t="s">
        <v>985</v>
      </c>
      <c r="F23" s="74" t="s">
        <v>1002</v>
      </c>
      <c r="G23" s="78">
        <v>14.8</v>
      </c>
      <c r="H23" s="76">
        <v>85.0</v>
      </c>
      <c r="I23" s="76">
        <v>1258.0</v>
      </c>
      <c r="J23" s="74" t="s">
        <v>17</v>
      </c>
      <c r="K23" s="74"/>
    </row>
    <row r="24" ht="15" customHeight="true">
      <c r="A24" s="74" t="s">
        <v>961</v>
      </c>
      <c r="B24" s="74" t="s">
        <v>969</v>
      </c>
      <c r="C24" s="75">
        <v>46067</v>
      </c>
      <c r="D24" s="74" t="s">
        <v>424</v>
      </c>
      <c r="E24" s="74" t="s">
        <v>986</v>
      </c>
      <c r="F24" s="74" t="s">
        <v>1002</v>
      </c>
      <c r="G24" s="78">
        <v>13.8</v>
      </c>
      <c r="H24" s="76">
        <v>85.0</v>
      </c>
      <c r="I24" s="76">
        <v>1173.0</v>
      </c>
      <c r="J24" s="74" t="s">
        <v>17</v>
      </c>
      <c r="K24" s="74"/>
    </row>
    <row r="25" ht="15" customHeight="true">
      <c r="A25" s="74" t="s">
        <v>961</v>
      </c>
      <c r="B25" s="74" t="s">
        <v>969</v>
      </c>
      <c r="C25" s="75">
        <v>46067</v>
      </c>
      <c r="D25" s="74" t="s">
        <v>424</v>
      </c>
      <c r="E25" s="74" t="s">
        <v>987</v>
      </c>
      <c r="F25" s="74" t="s">
        <v>1002</v>
      </c>
      <c r="G25" s="78">
        <v>13.3</v>
      </c>
      <c r="H25" s="76">
        <v>85.0</v>
      </c>
      <c r="I25" s="76">
        <v>1130.5</v>
      </c>
      <c r="J25" s="74" t="s">
        <v>17</v>
      </c>
      <c r="K25" s="74"/>
    </row>
    <row r="26" ht="15" customHeight="true">
      <c r="A26" s="74" t="s">
        <v>961</v>
      </c>
      <c r="B26" s="74" t="s">
        <v>969</v>
      </c>
      <c r="C26" s="75">
        <v>46067</v>
      </c>
      <c r="D26" s="74" t="s">
        <v>424</v>
      </c>
      <c r="E26" s="74" t="s">
        <v>988</v>
      </c>
      <c r="F26" s="74" t="s">
        <v>1002</v>
      </c>
      <c r="G26" s="78">
        <v>3.2</v>
      </c>
      <c r="H26" s="76">
        <v>85.0</v>
      </c>
      <c r="I26" s="76">
        <v>272.0</v>
      </c>
      <c r="J26" s="74" t="s">
        <v>17</v>
      </c>
      <c r="K26" s="74"/>
    </row>
    <row r="27" ht="15" customHeight="true">
      <c r="A27" s="74" t="s">
        <v>961</v>
      </c>
      <c r="B27" s="74" t="s">
        <v>969</v>
      </c>
      <c r="C27" s="75">
        <v>46067</v>
      </c>
      <c r="D27" s="74" t="s">
        <v>424</v>
      </c>
      <c r="E27" s="74" t="s">
        <v>989</v>
      </c>
      <c r="F27" s="74" t="s">
        <v>1002</v>
      </c>
      <c r="G27" s="78">
        <v>8.3</v>
      </c>
      <c r="H27" s="76">
        <v>85.0</v>
      </c>
      <c r="I27" s="76">
        <v>705.5</v>
      </c>
      <c r="J27" s="74" t="s">
        <v>17</v>
      </c>
      <c r="K27" s="74"/>
    </row>
    <row r="28" ht="15" customHeight="true">
      <c r="A28" s="74" t="s">
        <v>961</v>
      </c>
      <c r="B28" s="74" t="s">
        <v>969</v>
      </c>
      <c r="C28" s="75">
        <v>46067</v>
      </c>
      <c r="D28" s="74" t="s">
        <v>424</v>
      </c>
      <c r="E28" s="74" t="s">
        <v>978</v>
      </c>
      <c r="F28" s="74" t="s">
        <v>1003</v>
      </c>
      <c r="G28" s="78">
        <v>217.0</v>
      </c>
      <c r="H28" s="76">
        <v>15.0</v>
      </c>
      <c r="I28" s="76">
        <v>3255.0</v>
      </c>
      <c r="J28" s="74" t="s">
        <v>978</v>
      </c>
      <c r="K28" s="74"/>
    </row>
    <row r="29" ht="15" customHeight="true">
      <c r="A29" s="77" t="s">
        <v>200</v>
      </c>
      <c r="B29" s="77" t="s">
        <v>201</v>
      </c>
      <c r="C29" s="77"/>
      <c r="D29" s="77"/>
      <c r="E29" s="77"/>
      <c r="F29" s="77"/>
      <c r="G29" s="77"/>
      <c r="H29" s="77"/>
      <c r="I29" s="77"/>
      <c r="J29" s="77"/>
      <c r="K29" s="77"/>
    </row>
    <row r="30" ht="15" customHeight="true">
      <c r="A30" s="74" t="s">
        <v>200</v>
      </c>
      <c r="B30" s="74" t="s">
        <v>952</v>
      </c>
      <c r="C30" s="75">
        <v>46078</v>
      </c>
      <c r="D30" s="74" t="s">
        <v>201</v>
      </c>
      <c r="E30" s="74" t="s">
        <v>921</v>
      </c>
      <c r="F30" s="74" t="s">
        <v>1001</v>
      </c>
      <c r="G30" s="78">
        <v>1.0</v>
      </c>
      <c r="H30" s="76">
        <v>13609.16</v>
      </c>
      <c r="I30" s="76">
        <v>13609.16</v>
      </c>
      <c r="J30" s="74" t="s">
        <v>15</v>
      </c>
      <c r="K30" s="74"/>
    </row>
    <row r="31" ht="15" customHeight="true">
      <c r="A31" s="77" t="s">
        <v>886</v>
      </c>
      <c r="B31" s="77" t="s">
        <v>976</v>
      </c>
      <c r="C31" s="77"/>
      <c r="D31" s="77"/>
      <c r="E31" s="77"/>
      <c r="F31" s="77"/>
      <c r="G31" s="77"/>
      <c r="H31" s="77"/>
      <c r="I31" s="77"/>
      <c r="J31" s="77"/>
      <c r="K31" s="77"/>
    </row>
    <row r="32" ht="15" customHeight="true">
      <c r="A32" s="74" t="s">
        <v>886</v>
      </c>
      <c r="B32" s="74" t="s">
        <v>970</v>
      </c>
      <c r="C32" s="75">
        <v>46071</v>
      </c>
      <c r="D32" s="74" t="s">
        <v>976</v>
      </c>
      <c r="E32" s="74" t="s">
        <v>990</v>
      </c>
      <c r="F32" s="74" t="s">
        <v>1001</v>
      </c>
      <c r="G32" s="78">
        <v>1.0</v>
      </c>
      <c r="H32" s="76">
        <v>255.0</v>
      </c>
      <c r="I32" s="76">
        <v>255.0</v>
      </c>
      <c r="J32" s="74" t="s">
        <v>15</v>
      </c>
      <c r="K32" s="74"/>
    </row>
    <row r="33" ht="15" customHeight="true">
      <c r="A33" s="74" t="s">
        <v>886</v>
      </c>
      <c r="B33" s="74" t="s">
        <v>970</v>
      </c>
      <c r="C33" s="75">
        <v>46071</v>
      </c>
      <c r="D33" s="74" t="s">
        <v>976</v>
      </c>
      <c r="E33" s="74" t="s">
        <v>762</v>
      </c>
      <c r="F33" s="74" t="s">
        <v>1001</v>
      </c>
      <c r="G33" s="78">
        <v>1.0</v>
      </c>
      <c r="H33" s="76">
        <v>30.0</v>
      </c>
      <c r="I33" s="76">
        <v>30.0</v>
      </c>
      <c r="J33" s="74" t="s">
        <v>762</v>
      </c>
      <c r="K33" s="74"/>
    </row>
    <row r="34" ht="15" customHeight="true">
      <c r="A34" s="77" t="s">
        <v>915</v>
      </c>
      <c r="B34" s="77" t="s">
        <v>69</v>
      </c>
      <c r="C34" s="77"/>
      <c r="D34" s="77"/>
      <c r="E34" s="77"/>
      <c r="F34" s="77"/>
      <c r="G34" s="77"/>
      <c r="H34" s="77"/>
      <c r="I34" s="77"/>
      <c r="J34" s="77"/>
      <c r="K34" s="77"/>
    </row>
    <row r="35" ht="15" customHeight="true">
      <c r="A35" s="74" t="s">
        <v>915</v>
      </c>
      <c r="B35" s="74" t="s">
        <v>971</v>
      </c>
      <c r="C35" s="75">
        <v>46074</v>
      </c>
      <c r="D35" s="74" t="s">
        <v>69</v>
      </c>
      <c r="E35" s="74" t="s">
        <v>991</v>
      </c>
      <c r="F35" s="74" t="s">
        <v>1001</v>
      </c>
      <c r="G35" s="78">
        <v>1.0</v>
      </c>
      <c r="H35" s="76">
        <v>337.5</v>
      </c>
      <c r="I35" s="76">
        <v>337.5</v>
      </c>
      <c r="J35" s="74" t="s">
        <v>15</v>
      </c>
      <c r="K35" s="74" t="s">
        <v>1005</v>
      </c>
    </row>
    <row r="36" ht="15" customHeight="true">
      <c r="A36" s="74" t="s">
        <v>915</v>
      </c>
      <c r="B36" s="74" t="s">
        <v>971</v>
      </c>
      <c r="C36" s="75">
        <v>46074</v>
      </c>
      <c r="D36" s="74" t="s">
        <v>69</v>
      </c>
      <c r="E36" s="74" t="s">
        <v>762</v>
      </c>
      <c r="F36" s="74" t="s">
        <v>1001</v>
      </c>
      <c r="G36" s="78">
        <v>1.0</v>
      </c>
      <c r="H36" s="76">
        <v>50.0</v>
      </c>
      <c r="I36" s="76">
        <v>50.0</v>
      </c>
      <c r="J36" s="74" t="s">
        <v>762</v>
      </c>
      <c r="K36" s="74"/>
    </row>
    <row r="37" ht="15" customHeight="true">
      <c r="A37" s="77" t="s">
        <v>433</v>
      </c>
      <c r="B37" s="77" t="s">
        <v>882</v>
      </c>
      <c r="C37" s="77"/>
      <c r="D37" s="77"/>
      <c r="E37" s="77"/>
      <c r="F37" s="77"/>
      <c r="G37" s="77"/>
      <c r="H37" s="77"/>
      <c r="I37" s="77"/>
      <c r="J37" s="77"/>
      <c r="K37" s="77"/>
    </row>
    <row r="38" ht="15" customHeight="true">
      <c r="A38" s="74" t="s">
        <v>433</v>
      </c>
      <c r="B38" s="74" t="s">
        <v>972</v>
      </c>
      <c r="C38" s="75">
        <v>46070</v>
      </c>
      <c r="D38" s="74" t="s">
        <v>882</v>
      </c>
      <c r="E38" s="74" t="s">
        <v>992</v>
      </c>
      <c r="F38" s="74" t="s">
        <v>1001</v>
      </c>
      <c r="G38" s="78">
        <v>1.0</v>
      </c>
      <c r="H38" s="76">
        <v>370.0</v>
      </c>
      <c r="I38" s="76">
        <v>370.0</v>
      </c>
      <c r="J38" s="74" t="s">
        <v>15</v>
      </c>
      <c r="K38" s="74"/>
    </row>
    <row r="39" ht="15" customHeight="true">
      <c r="A39" s="77" t="s">
        <v>859</v>
      </c>
      <c r="B39" s="77" t="s">
        <v>163</v>
      </c>
      <c r="C39" s="77"/>
      <c r="D39" s="77"/>
      <c r="E39" s="77"/>
      <c r="F39" s="77"/>
      <c r="G39" s="77"/>
      <c r="H39" s="77"/>
      <c r="I39" s="77"/>
      <c r="J39" s="77"/>
      <c r="K39" s="77"/>
    </row>
    <row r="40" ht="15" customHeight="true">
      <c r="A40" s="74" t="s">
        <v>859</v>
      </c>
      <c r="B40" s="74" t="s">
        <v>973</v>
      </c>
      <c r="C40" s="75">
        <v>46067</v>
      </c>
      <c r="D40" s="74" t="s">
        <v>163</v>
      </c>
      <c r="E40" s="74" t="s">
        <v>993</v>
      </c>
      <c r="F40" s="74" t="s">
        <v>1002</v>
      </c>
      <c r="G40" s="78">
        <v>22.4</v>
      </c>
      <c r="H40" s="76">
        <v>80.0</v>
      </c>
      <c r="I40" s="76">
        <v>1792.0</v>
      </c>
      <c r="J40" s="74" t="s">
        <v>17</v>
      </c>
      <c r="K40" s="74"/>
    </row>
    <row r="41" ht="15" customHeight="true">
      <c r="A41" s="74" t="s">
        <v>859</v>
      </c>
      <c r="B41" s="74" t="s">
        <v>973</v>
      </c>
      <c r="C41" s="75">
        <v>46067</v>
      </c>
      <c r="D41" s="74" t="s">
        <v>163</v>
      </c>
      <c r="E41" s="74" t="s">
        <v>994</v>
      </c>
      <c r="F41" s="74" t="s">
        <v>1002</v>
      </c>
      <c r="G41" s="78">
        <v>47.7</v>
      </c>
      <c r="H41" s="76">
        <v>80.0</v>
      </c>
      <c r="I41" s="76">
        <v>3816.0</v>
      </c>
      <c r="J41" s="74" t="s">
        <v>17</v>
      </c>
      <c r="K41" s="74"/>
    </row>
    <row r="42" ht="15" customHeight="true">
      <c r="A42" s="74" t="s">
        <v>859</v>
      </c>
      <c r="B42" s="74" t="s">
        <v>973</v>
      </c>
      <c r="C42" s="75">
        <v>46067</v>
      </c>
      <c r="D42" s="74" t="s">
        <v>163</v>
      </c>
      <c r="E42" s="74" t="s">
        <v>995</v>
      </c>
      <c r="F42" s="74" t="s">
        <v>1002</v>
      </c>
      <c r="G42" s="78">
        <v>55.3</v>
      </c>
      <c r="H42" s="76">
        <v>80.0</v>
      </c>
      <c r="I42" s="76">
        <v>4424.0</v>
      </c>
      <c r="J42" s="74" t="s">
        <v>17</v>
      </c>
      <c r="K42" s="74"/>
    </row>
    <row r="43" ht="15" customHeight="true">
      <c r="A43" s="74" t="s">
        <v>859</v>
      </c>
      <c r="B43" s="74" t="s">
        <v>973</v>
      </c>
      <c r="C43" s="75">
        <v>46067</v>
      </c>
      <c r="D43" s="74" t="s">
        <v>163</v>
      </c>
      <c r="E43" s="74" t="s">
        <v>996</v>
      </c>
      <c r="F43" s="74" t="s">
        <v>1001</v>
      </c>
      <c r="G43" s="78">
        <v>1.0</v>
      </c>
      <c r="H43" s="76">
        <v>5171.0</v>
      </c>
      <c r="I43" s="76">
        <v>5171.0</v>
      </c>
      <c r="J43" s="74" t="s">
        <v>978</v>
      </c>
      <c r="K43" s="74"/>
    </row>
    <row r="44" ht="15" customHeight="true">
      <c r="A44" s="77" t="s">
        <v>891</v>
      </c>
      <c r="B44" s="77" t="s">
        <v>892</v>
      </c>
      <c r="C44" s="77"/>
      <c r="D44" s="77"/>
      <c r="E44" s="77"/>
      <c r="F44" s="77"/>
      <c r="G44" s="77"/>
      <c r="H44" s="77"/>
      <c r="I44" s="77"/>
      <c r="J44" s="77"/>
      <c r="K44" s="77"/>
    </row>
    <row r="45" ht="15" customHeight="true">
      <c r="A45" s="74" t="s">
        <v>891</v>
      </c>
      <c r="B45" s="74" t="s">
        <v>974</v>
      </c>
      <c r="C45" s="75">
        <v>46074</v>
      </c>
      <c r="D45" s="74" t="s">
        <v>892</v>
      </c>
      <c r="E45" s="74" t="s">
        <v>997</v>
      </c>
      <c r="F45" s="74" t="s">
        <v>1001</v>
      </c>
      <c r="G45" s="78">
        <v>1.0</v>
      </c>
      <c r="H45" s="76">
        <v>423.73</v>
      </c>
      <c r="I45" s="76">
        <v>423.73</v>
      </c>
      <c r="J45" s="74" t="s">
        <v>15</v>
      </c>
      <c r="K45" s="74" t="s">
        <v>1006</v>
      </c>
    </row>
    <row r="46" ht="15" customHeight="true">
      <c r="A46" s="77" t="s">
        <v>962</v>
      </c>
      <c r="B46" s="77" t="s">
        <v>429</v>
      </c>
      <c r="C46" s="77"/>
      <c r="D46" s="77"/>
      <c r="E46" s="77"/>
      <c r="F46" s="77"/>
      <c r="G46" s="77"/>
      <c r="H46" s="77"/>
      <c r="I46" s="77"/>
      <c r="J46" s="77"/>
      <c r="K46" s="77"/>
    </row>
    <row r="47" ht="15" customHeight="true">
      <c r="A47" s="74" t="s">
        <v>962</v>
      </c>
      <c r="B47" s="74" t="s">
        <v>975</v>
      </c>
      <c r="C47" s="75">
        <v>46065</v>
      </c>
      <c r="D47" s="74" t="s">
        <v>429</v>
      </c>
      <c r="E47" s="74" t="s">
        <v>998</v>
      </c>
      <c r="F47" s="74" t="s">
        <v>1001</v>
      </c>
      <c r="G47" s="78">
        <v>1.0</v>
      </c>
      <c r="H47" s="76">
        <v>349.5</v>
      </c>
      <c r="I47" s="76">
        <v>349.5</v>
      </c>
      <c r="J47" s="74" t="s">
        <v>17</v>
      </c>
      <c r="K47" s="74"/>
    </row>
    <row r="48" ht="15" customHeight="true">
      <c r="A48" s="74" t="s">
        <v>962</v>
      </c>
      <c r="B48" s="74" t="s">
        <v>975</v>
      </c>
      <c r="C48" s="75">
        <v>46065</v>
      </c>
      <c r="D48" s="74" t="s">
        <v>429</v>
      </c>
      <c r="E48" s="74" t="s">
        <v>978</v>
      </c>
      <c r="F48" s="74" t="s">
        <v>1001</v>
      </c>
      <c r="G48" s="78">
        <v>1.0</v>
      </c>
      <c r="H48" s="76">
        <v>198.0</v>
      </c>
      <c r="I48" s="76">
        <v>198.0</v>
      </c>
      <c r="J48" s="74" t="s">
        <v>978</v>
      </c>
      <c r="K48" s="74"/>
    </row>
    <row r="49" ht="15" customHeight="true">
      <c r="A49" s="74" t="s">
        <v>962</v>
      </c>
      <c r="B49" s="74" t="s">
        <v>975</v>
      </c>
      <c r="C49" s="75">
        <v>46065</v>
      </c>
      <c r="D49" s="74" t="s">
        <v>429</v>
      </c>
      <c r="E49" s="74" t="s">
        <v>762</v>
      </c>
      <c r="F49" s="74" t="s">
        <v>1001</v>
      </c>
      <c r="G49" s="78">
        <v>1.0</v>
      </c>
      <c r="H49" s="76">
        <v>35.0</v>
      </c>
      <c r="I49" s="76">
        <v>35.0</v>
      </c>
      <c r="J49" s="74" t="s">
        <v>762</v>
      </c>
      <c r="K49" s="74"/>
    </row>
    <row r="50" ht="15" customHeight="true">
      <c r="A50" s="74" t="s">
        <v>962</v>
      </c>
      <c r="B50" s="74" t="s">
        <v>975</v>
      </c>
      <c r="C50" s="75">
        <v>46065</v>
      </c>
      <c r="D50" s="74" t="s">
        <v>429</v>
      </c>
      <c r="E50" s="74" t="s">
        <v>999</v>
      </c>
      <c r="F50" s="74" t="s">
        <v>1001</v>
      </c>
      <c r="G50" s="78">
        <v>1.0</v>
      </c>
      <c r="H50" s="76">
        <v>70.0</v>
      </c>
      <c r="I50" s="76">
        <v>70.0</v>
      </c>
      <c r="J50" s="74" t="s">
        <v>17</v>
      </c>
      <c r="K50" s="74"/>
    </row>
  </sheetData>
  <mergeCells count="14">
    <mergeCell ref="A1:K1"/>
    <mergeCell ref="A3:C3"/>
    <mergeCell ref="A10:C10"/>
    <mergeCell ref="A13:C13"/>
    <mergeCell ref="A15:C15"/>
    <mergeCell ref="A19:C19"/>
    <mergeCell ref="A22:C22"/>
    <mergeCell ref="A29:C29"/>
    <mergeCell ref="A31:C31"/>
    <mergeCell ref="A34:C34"/>
    <mergeCell ref="A37:C37"/>
    <mergeCell ref="A39:C39"/>
    <mergeCell ref="A44:C44"/>
    <mergeCell ref="A46:C46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
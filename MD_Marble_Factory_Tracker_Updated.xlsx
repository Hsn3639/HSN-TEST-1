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vmlDrawing2.vml" ContentType="application/vnd.openxmlformats-officedocument.vmlDrawing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Orders &amp; Payments" sheetId="2" state="visible" r:id="rId4"/>
    <sheet name="Client Directory" sheetId="3" state="visible" r:id="rId5"/>
    <sheet name="Measurement Pipeline" sheetId="4" state="visible" r:id="rId6"/>
    <sheet name="Cutting Log" sheetId="5" state="visible" r:id="rId7"/>
    <sheet name="Daily Work Log" sheetId="6" state="visible" r:id="rId8"/>
    <sheet name="Attendance" sheetId="7" state="visible" r:id="rId9"/>
    <sheet name="Workers" sheetId="8" state="visible" r:id="rId10"/>
    <sheet name="Guide" sheetId="9" state="visible" r:id="rId11"/>
    <sheet name="Price Book" sheetId="10" state="visible" r:id="rId13"/>
  </sheets>
  <definedNames>
    <definedName function="false" hidden="true" localSheetId="6" name="_xlnm._FilterDatabase" vbProcedure="false">Attendance!$A$2:$I$400</definedName>
    <definedName function="false" hidden="true" localSheetId="2" name="_xlnm._FilterDatabase" vbProcedure="false">'Client Directory'!$A$2:$M$32</definedName>
    <definedName function="false" hidden="true" localSheetId="4" name="_xlnm._FilterDatabase" vbProcedure="false">'Cutting Log'!$A$2:$M$200</definedName>
    <definedName function="false" hidden="true" localSheetId="5" name="_xlnm._FilterDatabase" vbProcedure="false">'Daily Work Log'!$A$2:$M$300</definedName>
    <definedName function="false" hidden="true" localSheetId="3" name="_xlnm._FilterDatabase" vbProcedure="false">'Measurement Pipeline'!$A$2:$O$60</definedName>
    <definedName function="false" hidden="true" localSheetId="1" name="_xlnm._FilterDatabase" vbProcedure="false">'Orders &amp; Payments'!$A$2:$U$200</definedName>
    <definedName function="false" hidden="true" localSheetId="7" name="_xlnm._FilterDatabase" vbProcedure="false">Workers!$A$2:$J$40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O2" authorId="0">
      <text>
        <r>
          <rPr>
            <sz val="10"/>
            <rFont val="Arial"/>
            <family val="2"/>
          </rPr>
          <t xml:space="preserve">Type any deposit or payment received against this job. Pending updates automatically.</t>
        </r>
      </text>
    </comment>
    <comment ref="P2" authorId="0">
      <text>
        <r>
          <rPr>
            <sz val="10"/>
            <rFont val="Arial"/>
            <family val="2"/>
          </rPr>
          <t xml:space="preserve">Auto: Total incl VAT − Deposit/Paid. Update the yellow "Deposit / Paid" cell as money comes in.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2" authorId="0">
      <text>
        <r>
          <rPr>
            <sz val="10"/>
            <rFont val="Arial"/>
            <family val="2"/>
          </rPr>
          <t xml:space="preserve">Change this % to recalc all suggested deposits in column K.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2" authorId="0">
      <text>
        <r>
          <rPr>
            <sz val="10"/>
            <rFont val="Arial"/>
            <family val="2"/>
          </rPr>
          <t xml:space="preserve">Auto: (Time Out − Time In) in hours. Enter times as 07:00, 16:30 etc.</t>
        </r>
      </text>
    </comment>
  </commentList>
</comments>
</file>

<file path=xl/sharedStrings.xml><?xml version="1.0" encoding="utf-8"?>
<sst xmlns="http://schemas.openxmlformats.org/spreadsheetml/2006/main" count="1061" uniqueCount="1061">
  <si>
    <t>MD MARBLE  —  FACTORY CONTROL DASHBOARD</t>
  </si>
  <si>
    <t>MD Finishes  •  Triq ix-Xwieni, Alberttown, Marsa  •  VAT MT26862103  •  live overview (figures update automatically)</t>
  </si>
  <si>
    <t>KEY NUMBERS</t>
  </si>
  <si>
    <t>INVOICED &amp; DELIVERED (incl VAT)</t>
  </si>
  <si>
    <t>PIPELINE — QUOTES AWAITING CONFIRM</t>
  </si>
  <si>
    <t>TOTAL RECEIVED / DEPOSITS</t>
  </si>
  <si>
    <t>OUTSTANDING TO COLLECT</t>
  </si>
  <si>
    <t>JOBS / DOCUMENTS LOGGED</t>
  </si>
  <si>
    <t>QUOTES AWAITING CONFIRMATION</t>
  </si>
  <si>
    <t>BY DOCUMENT TYPE</t>
  </si>
  <si>
    <t>BY WORK TYPE</t>
  </si>
  <si>
    <t>Type</t>
  </si>
  <si>
    <t>Count</t>
  </si>
  <si>
    <t>Value (incl VAT)</t>
  </si>
  <si>
    <t>Quotation</t>
  </si>
  <si>
    <t>Supply Only</t>
  </si>
  <si>
    <t>Invoice</t>
  </si>
  <si>
    <t>Supply &amp; Install</t>
  </si>
  <si>
    <t>Delivery-Invoice</t>
  </si>
  <si>
    <t>Service</t>
  </si>
  <si>
    <t>Credit Note</t>
  </si>
  <si>
    <t>How to use: fill the yellow cells. Everything else (Pending, Dashboard, Client totals) calculates by itself. Tabs are grouped: bronze = overview, blue = sales/orders, green = factory &amp; people.</t>
  </si>
  <si>
    <t>ORDERS,  DELIVERIES  &amp;  PAYMENTS</t>
  </si>
  <si>
    <t>Order ID</t>
  </si>
  <si>
    <t>Date</t>
  </si>
  <si>
    <t>Client</t>
  </si>
  <si>
    <t>Site / Location</t>
  </si>
  <si>
    <t>Description of Works</t>
  </si>
  <si>
    <t>Material</t>
  </si>
  <si>
    <t>Doc Type</t>
  </si>
  <si>
    <t>Quote No.</t>
  </si>
  <si>
    <t>Invoice No.</t>
  </si>
  <si>
    <t>Work Type</t>
  </si>
  <si>
    <t>Confirmed?</t>
  </si>
  <si>
    <t>Amount excl VAT</t>
  </si>
  <si>
    <t>VAT</t>
  </si>
  <si>
    <t>Total incl VAT</t>
  </si>
  <si>
    <t>Deposit / Paid</t>
  </si>
  <si>
    <t>Pending</t>
  </si>
  <si>
    <t>Payment Due When</t>
  </si>
  <si>
    <t>Payment Status</t>
  </si>
  <si>
    <t>Lead Time (days)</t>
  </si>
  <si>
    <t>Delivery / Install Date</t>
  </si>
  <si>
    <t>Notes</t>
  </si>
  <si>
    <t>MD-001</t>
  </si>
  <si>
    <t>Luqa New Airport</t>
  </si>
  <si>
    <t>Luqa Airport</t>
  </si>
  <si>
    <t>Supply &amp; Install of Biege Lime Stone (31.2 sqm) + installation 93 lm, plus extra door sills &amp; leveling labour</t>
  </si>
  <si>
    <t>Biege Lime Stone</t>
  </si>
  <si>
    <t>No</t>
  </si>
  <si>
    <t>Deposit on Confirmation</t>
  </si>
  <si>
    <t>Awaiting Confirmation</t>
  </si>
  <si>
    <t>Old quote (Nov-2024) — confirm if still live or already done. Filename hint: Satariano / Luqa.</t>
  </si>
  <si>
    <t>MD-002</t>
  </si>
  <si>
    <t>Qrendi (site)</t>
  </si>
  <si>
    <t>Qrendi</t>
  </si>
  <si>
    <t>Supply of marble — limestone 90×60 brushed (10.8 + 2.16 m²), travertine 40×60 unfilled 12 sqm, 240×240 slab</t>
  </si>
  <si>
    <t>Limestone / Travertine</t>
  </si>
  <si>
    <t>No company name / VAT on doc — confirm client identity.</t>
  </si>
  <si>
    <t>MD-003</t>
  </si>
  <si>
    <t>WE MALTA LTD</t>
  </si>
  <si>
    <t>Pieta</t>
  </si>
  <si>
    <t>Supply &amp; deliver of Biege stone for lifts — Pieta site</t>
  </si>
  <si>
    <t>Biege Stone</t>
  </si>
  <si>
    <t>Yes</t>
  </si>
  <si>
    <t>On Delivery</t>
  </si>
  <si>
    <t>VAT 26150532, Birkirkara. Lift cladding supply.</t>
  </si>
  <si>
    <t>MD-004</t>
  </si>
  <si>
    <t>Marsa – Hand-Crafted Job</t>
  </si>
  <si>
    <t>Marsa</t>
  </si>
  <si>
    <t>Supply &amp; install of hand-crafted marble designs, full bullnose edging &amp; on-site polish</t>
  </si>
  <si>
    <t>Marble (hand-crafted)</t>
  </si>
  <si>
    <t>Doc shows customer: "MARSA" (no VAT). Confirm contact.</t>
  </si>
  <si>
    <t>MD-005</t>
  </si>
  <si>
    <t>AX CONSTRUCTION LIMITED</t>
  </si>
  <si>
    <t>Airport / Mosta</t>
  </si>
  <si>
    <t>Supply of Biege Limestone</t>
  </si>
  <si>
    <t>Biege Limestone</t>
  </si>
  <si>
    <t>VAT 12949330, Triq id-Difiza Civili, Mosta.</t>
  </si>
  <si>
    <t>MD-006</t>
  </si>
  <si>
    <t>Amanda</t>
  </si>
  <si>
    <t>Buggiba</t>
  </si>
  <si>
    <t>Supply of granite (cut to ~22 sizes) — Buggiba site</t>
  </si>
  <si>
    <t>Granite</t>
  </si>
  <si>
    <t>Doc shows "AMANDA" (no VAT). Many cut pieces listed.</t>
  </si>
  <si>
    <t>MD-007</t>
  </si>
  <si>
    <t>1909 INVESTMENTS LTD</t>
  </si>
  <si>
    <t>Zebbug</t>
  </si>
  <si>
    <t>CREDIT NOTE against invoice 400190 — Supply &amp; Install Travertine Sills &amp; Stairs</t>
  </si>
  <si>
    <t>Travertine</t>
  </si>
  <si>
    <t>(ref 400190)</t>
  </si>
  <si>
    <t>N/A</t>
  </si>
  <si>
    <t>See Notes</t>
  </si>
  <si>
    <t>Credit note offsets Invoice 400190 (not uploaded). VAT 20541622.</t>
  </si>
  <si>
    <t>MD-008</t>
  </si>
  <si>
    <t>Supply &amp; Install of Travertine Sills &amp; Stairs</t>
  </si>
  <si>
    <t>On Completion</t>
  </si>
  <si>
    <t>VAT 20541622, BG House No.3, Zebbug.</t>
  </si>
  <si>
    <t>MD-009</t>
  </si>
  <si>
    <t>SUNSPOTS LTD</t>
  </si>
  <si>
    <t>Supply of Biege Travertine 40×60 + Galala sills &amp; stairs — Pieta site</t>
  </si>
  <si>
    <t>Travertine &amp; Galala</t>
  </si>
  <si>
    <t>VAT 12527802, St Julians.</t>
  </si>
  <si>
    <t>MD-010</t>
  </si>
  <si>
    <t>ROGER SATARIANO &amp; SON LTD</t>
  </si>
  <si>
    <t>Mriehel</t>
  </si>
  <si>
    <t>Supply &amp; Install of Lava Black marble for stairs &amp; façade (31.6 sqm) — Mriehel site</t>
  </si>
  <si>
    <t>Lava Black</t>
  </si>
  <si>
    <t>VAT 1055-2337, 122 Msida Valley Rd, Birkirkara.</t>
  </si>
  <si>
    <t>MD-011</t>
  </si>
  <si>
    <t>ICI LIMITED</t>
  </si>
  <si>
    <t>Birkirkara</t>
  </si>
  <si>
    <t>Supply of Travertine incl material + cutting + round edges (9.2 sqm)</t>
  </si>
  <si>
    <t>VAT MT17813220, Triq l-Artigjanat Zone 4, Birkirkara.</t>
  </si>
  <si>
    <t>MD-012</t>
  </si>
  <si>
    <t>Villa Fiorini</t>
  </si>
  <si>
    <t>Villa Fiorini — remove &amp; replace marble sills + install</t>
  </si>
  <si>
    <t>Marble (sills)</t>
  </si>
  <si>
    <t>Same client as MD-011/MD-018 (ICI Ltd).</t>
  </si>
  <si>
    <t>MD-013</t>
  </si>
  <si>
    <t>Jhon Soler</t>
  </si>
  <si>
    <t>15 Howard St, Sliema</t>
  </si>
  <si>
    <t>Supply &amp; Install of 7 lifts cladding + delivery &amp; unloading to each floor</t>
  </si>
  <si>
    <t>Marble cladding</t>
  </si>
  <si>
    <t>Doc shows "Jhon Soler", Sliema (no VAT).</t>
  </si>
  <si>
    <t>MD-014</t>
  </si>
  <si>
    <t>Zebbug — Flats 1–12</t>
  </si>
  <si>
    <t>Supply &amp; Install of Travertine — covers Flats 1,2,3,4,5,6,7,8,9,10,11 &amp; 12</t>
  </si>
  <si>
    <t>VAT 20541622. Supply 3,154 + Install 2,400.</t>
  </si>
  <si>
    <t>MD-015</t>
  </si>
  <si>
    <t>Robert (RMX Ltd)</t>
  </si>
  <si>
    <t>Supply + delivery of Silvia Marble</t>
  </si>
  <si>
    <t>Silvia Marble</t>
  </si>
  <si>
    <t>Doc shows "MARSA"; filename hint: Robert / RMX Ltd. Confirm.</t>
  </si>
  <si>
    <t>MD-016</t>
  </si>
  <si>
    <t>Supply &amp; Install of Lava aluminium door sills (extra) — Mriehel site</t>
  </si>
  <si>
    <t>Lava</t>
  </si>
  <si>
    <t>VAT 1055-2337. Extra to the Mriehel Lava Black job (MD-010).</t>
  </si>
  <si>
    <t>MD-017</t>
  </si>
  <si>
    <t>PROJECT TECHNIK LTD</t>
  </si>
  <si>
    <t>Qormi</t>
  </si>
  <si>
    <t>Supply of Trista Grey (27 sqm)</t>
  </si>
  <si>
    <t>Trista Grey</t>
  </si>
  <si>
    <t>VAT MT19667814, Cannon Road, Qormi.</t>
  </si>
  <si>
    <t>MD-018</t>
  </si>
  <si>
    <t>Sliema (Gafar)</t>
  </si>
  <si>
    <t>Touch up &amp; paint — Gafar at Sliema</t>
  </si>
  <si>
    <t>Touch-up / paint</t>
  </si>
  <si>
    <t>Agreed split per doc: €660.80 cash + €283.20 barter (= €944).</t>
  </si>
  <si>
    <t>MD-019</t>
  </si>
  <si>
    <t>Lee</t>
  </si>
  <si>
    <t>Siggiewi / Marsa</t>
  </si>
  <si>
    <t>Supply of Biege Travertine sills (11 cut sizes) + delivery</t>
  </si>
  <si>
    <t>Biege Travertine</t>
  </si>
  <si>
    <t>Doc shows "Lee", Marsa; filename hint: Siggiewi.</t>
  </si>
  <si>
    <t>MD-020</t>
  </si>
  <si>
    <t>STEPHEN FARRUGIA</t>
  </si>
  <si>
    <t>Santa Venera</t>
  </si>
  <si>
    <t>Supply &amp; Install of Marble — BALANCE on Quote 227 (project total €13,806 incl VAT; deposit €5,522.40 already paid on Inv 400181)</t>
  </si>
  <si>
    <t>Marble</t>
  </si>
  <si>
    <t>VAT mt13709420. This row = remaining balance €8,283.60. Deposit already collected via Inv 400181. Fiscal Invoice 400196 (14/11/2025) was issued for this same balance — same sale, counted once here.</t>
  </si>
  <si>
    <t>MD-021</t>
  </si>
  <si>
    <t>Christian Fenech</t>
  </si>
  <si>
    <t>Msida</t>
  </si>
  <si>
    <t>Supply of Biege stone sills (24 lm)</t>
  </si>
  <si>
    <t>Biege stone</t>
  </si>
  <si>
    <t>VAT 1690-8714, Msida.</t>
  </si>
  <si>
    <t>MD-022</t>
  </si>
  <si>
    <t>Dario</t>
  </si>
  <si>
    <t>Supply of kitchen top — Quartz Gold (OPTION A)</t>
  </si>
  <si>
    <t>Quartz Gold</t>
  </si>
  <si>
    <t>OPTION A for Dario kitchen. Alternative to Q265 (Calacatta) — client picks ONE. No VAT on doc.</t>
  </si>
  <si>
    <t>MD-023</t>
  </si>
  <si>
    <t>Supply of kitchen top — Quartz Calacatta Gold (OPTION B)</t>
  </si>
  <si>
    <t>Quartz Calacatta Gold</t>
  </si>
  <si>
    <t>OPTION B for Dario kitchen. Alternative to Q264 (Quartz Gold) — client picks ONE. No VAT on doc.</t>
  </si>
  <si>
    <t>MD-024</t>
  </si>
  <si>
    <t>BURMARRAD GROUP PROPERTIES LIMITED</t>
  </si>
  <si>
    <t>Plastering &amp; painting finishings — clean ceiling, treat &amp; apply Sika, plaster &amp; paint</t>
  </si>
  <si>
    <t>Plaster / paint</t>
  </si>
  <si>
    <t>*** Billed under MD FINISHES (VAT MT25476001 / Mohammed Aldeeb), NOT MD Marble. Client VAT MT30717708. Confirm if it belongs in these books.</t>
  </si>
  <si>
    <t>MD-025</t>
  </si>
  <si>
    <t>Touch up &amp; paint</t>
  </si>
  <si>
    <t>Paint (touch-up)</t>
  </si>
  <si>
    <t>*** Billed under MD FINISHES (Mohammed Aldeeb), NOT MD Marble. Same client as MD-024.</t>
  </si>
  <si>
    <t>MD-026</t>
  </si>
  <si>
    <t>LAS VEGAS RESORT LTD</t>
  </si>
  <si>
    <t>Paceville (pool)</t>
  </si>
  <si>
    <t>Supply of 3cm Hammered Marble — extra pieces for the pool (ordered by Emmanuel)</t>
  </si>
  <si>
    <t>Hammered Marble 3cm</t>
  </si>
  <si>
    <t>VAT MT28194902, Dragonara Rd, Paceville.</t>
  </si>
  <si>
    <t>MD-027</t>
  </si>
  <si>
    <t>Supply of Galala Marble for Lifts + Extras (ordered by Ezzideen)</t>
  </si>
  <si>
    <t>Galala</t>
  </si>
  <si>
    <t>Same job across 3 docs (counted once): quoted as Q263 to contact "Albert" (Pieta) -&gt; delivered via DN 1000260 -&gt; fiscal Inv 400198. Gross 3,000 less 300 discount = 2,700 net.</t>
  </si>
  <si>
    <t>MD-028</t>
  </si>
  <si>
    <t>Pool &amp; BBQ area</t>
  </si>
  <si>
    <t>Supply &amp; Install of Travertine for the pool &amp; barbeque area</t>
  </si>
  <si>
    <t>VAT 1055-2337. New job, separate from the Mriehel Lava work (MD-010/MD-016).</t>
  </si>
  <si>
    <t>MD-029</t>
  </si>
  <si>
    <t>JAA CO LTD</t>
  </si>
  <si>
    <t>Swieqi</t>
  </si>
  <si>
    <t>Supply of Crema Marfil — extra sills, 6 cut sizes (ordered by Ronaldo)</t>
  </si>
  <si>
    <t>Crema Marfil</t>
  </si>
  <si>
    <t>Quote 268 was confirmed &amp; invoiced as Inv 400205 (16/12/2025). VAT MT2630-3713, Arzella, Swieqi.</t>
  </si>
  <si>
    <t>MD-030</t>
  </si>
  <si>
    <t>Attard</t>
  </si>
  <si>
    <t>Supply &amp; Install of Biege Atone Marble — stairs (73.25 sqm) &amp; skirting (64.40 lm), Ha Attard site</t>
  </si>
  <si>
    <t>Biege Atone</t>
  </si>
  <si>
    <t>Partial</t>
  </si>
  <si>
    <t>Quote 272 (orig €10,612.92) CONFIRMED &amp; realised as Delivery-Invoice 1000294 (14/02/2026). Terms 40/30/30. 40% deposit €4,245.17 stated on doc (CONFIRM received); balance €5,230.88. VAT 26150532.</t>
  </si>
  <si>
    <t>MD-031</t>
  </si>
  <si>
    <t>Purchase Order 1 (MARSA)</t>
  </si>
  <si>
    <t>Marsa (TBC)</t>
  </si>
  <si>
    <t>Supply &amp; Install of Crema Galala — stairs, landing &amp; entrance (65.6 sqm) + skirting</t>
  </si>
  <si>
    <t>Crema Galala</t>
  </si>
  <si>
    <t>Doc customer literally "PURCHASE ORDER 1" (Marsa, no VAT) — identify the real client.</t>
  </si>
  <si>
    <t>MD-032</t>
  </si>
  <si>
    <t>Supply &amp; Install of Biege Atone Marble — internal stairs (51.26 sqm) &amp; internal skirting (62 lm), Birkirkara site</t>
  </si>
  <si>
    <t>Quote 273 (orig €10,105.99) CONFIRMED &amp; realised as Delivery-Invoice 1000295 (14/02/2026). 40% deposit €3,364.70 stated (CONFIRM received); doc states 60% balance €3,955.47 (deposit+balance = €7,320.17 vs total €7,353.17 — €33 rounding diff on doc). VAT 26150532.</t>
  </si>
  <si>
    <t>MD-033</t>
  </si>
  <si>
    <t>Penthouse (TBC)</t>
  </si>
  <si>
    <t>Supply &amp; Install of Travertine Noce — penthouse (8.6 sqm)</t>
  </si>
  <si>
    <t>Travertine Noce</t>
  </si>
  <si>
    <t>Doc customer "PURCHASE ORDER 1" (Marsa, no VAT) — identify the real client.</t>
  </si>
  <si>
    <t>MD-034</t>
  </si>
  <si>
    <t>UDRI INVESTMENTS LTD</t>
  </si>
  <si>
    <t>Supply &amp; Install of Bianco Marble — Attard site</t>
  </si>
  <si>
    <t>Bianco Marble</t>
  </si>
  <si>
    <t>VAT MT23109635, Msida Park, Msida.</t>
  </si>
  <si>
    <t>MD-035</t>
  </si>
  <si>
    <t>UNITED INVESTMENT HOLDINGS LTD</t>
  </si>
  <si>
    <t>VAT shows 00000 — confirm. 4 Timber Wharf, Marsa. Same Attard / Bianco job as UDRI (MD-034) — possibly linked.</t>
  </si>
  <si>
    <t>MD-036</t>
  </si>
  <si>
    <t>Tal-Mandra (Villa 10)</t>
  </si>
  <si>
    <t>Supply &amp; Install of Travertine &amp; Bianco Marble — Villa 10 (internal entrance, sill, internal marble)</t>
  </si>
  <si>
    <t>Travertine &amp; Bianco</t>
  </si>
  <si>
    <t>VAT MT17813220. Payment split per doc: 80% cash €888.30 + 20% barter €222.08.</t>
  </si>
  <si>
    <t>MD-037</t>
  </si>
  <si>
    <t>Tal-Mandra (Villa 11)</t>
  </si>
  <si>
    <t>Supply &amp; Install of Travertine &amp; Bianco Marble — Villa 11 (internal &amp; external sills)</t>
  </si>
  <si>
    <t>VAT MT17813220. Payment split per doc: 80% cash €876.04 + 20% barter €219.</t>
  </si>
  <si>
    <t>MD-038</t>
  </si>
  <si>
    <t>ICI site</t>
  </si>
  <si>
    <t>Supply of Travertine — material + cutting + round edges</t>
  </si>
  <si>
    <t>VAT MT17813220. Older invoice (Oct-2025), added later.</t>
  </si>
  <si>
    <t>MD-039</t>
  </si>
  <si>
    <t>Mosta</t>
  </si>
  <si>
    <t>Supply of Travertine crosscut sills — Mosta site (50 lm + 65 cm)</t>
  </si>
  <si>
    <t>Travertine crosscut</t>
  </si>
  <si>
    <t>VAT MT17813220. Split: 80% cash €1,097.25 + 20% barter €274.30.</t>
  </si>
  <si>
    <t>MD-040</t>
  </si>
  <si>
    <t>Supply of Travertine crosscut sills — Pieta site</t>
  </si>
  <si>
    <t>VAT MT17813220. Split: 80% cash €1,864.40 + 20% barter €466.10.</t>
  </si>
  <si>
    <t>MD-041</t>
  </si>
  <si>
    <t>Tal-Mandra (villas)</t>
  </si>
  <si>
    <t>Supply &amp; Install of Travertine risers for entrances — Tal Mandra houses (villas V-3 to V-25)</t>
  </si>
  <si>
    <t>VAT MT17813220. Split: 80% cash €1,425.44 + 20% barter €356.36.</t>
  </si>
  <si>
    <t>MD-042</t>
  </si>
  <si>
    <t>Tal-Mandra (Villa 25)</t>
  </si>
  <si>
    <t>Supply &amp; Install of Bianco Marble — Villa 25</t>
  </si>
  <si>
    <t>VAT MT17813220. Split: 80% cash €1,392.40 + 20% barter €348.10.</t>
  </si>
  <si>
    <t>MD-043</t>
  </si>
  <si>
    <t>Tal-Mandra (Villa 15)</t>
  </si>
  <si>
    <t>Supply &amp; Install of Travertine &amp; Bianco Marble — Villa 15</t>
  </si>
  <si>
    <t>VAT MT17813220. Split: 80% cash €908.13 + 20% barter €227.03.</t>
  </si>
  <si>
    <t>MD-044</t>
  </si>
  <si>
    <t>Gharghur</t>
  </si>
  <si>
    <t>Supply &amp; delivery of Travertine CrossCut — Gharghur</t>
  </si>
  <si>
    <t>Gross 650 less 301.02 discount = 348.98 net. Client "PURCHASE ORDER 1" (Marsa, no VAT) — identify.</t>
  </si>
  <si>
    <t>MD-045</t>
  </si>
  <si>
    <t>GF–Level 4 + Penthouse</t>
  </si>
  <si>
    <t>Supply of Biege stone marble for stairs (GF to Level 4) + Crema Galala for penthouse</t>
  </si>
  <si>
    <t>Biege stone / Crema Galala</t>
  </si>
  <si>
    <t>Doc customer "RMX LTD" (Marsa, no VAT) = same as Robert/RMX (MD-015). Terms: 50% deposit / 50% on pickup.</t>
  </si>
  <si>
    <t>MD-046</t>
  </si>
  <si>
    <t>Supply of Crema Galala &amp; Tundra Marble — internal stairs/flooring, garden &amp; façade walls, external stairs, sills, edges</t>
  </si>
  <si>
    <t>Crema Galala &amp; Tundra</t>
  </si>
  <si>
    <t>Gross 12,032.60 less 290 discount = 11,742.60 net. Client "PURCHASE ORDER 1" — identify.</t>
  </si>
  <si>
    <t>MD-047</t>
  </si>
  <si>
    <t>Ta Xbiex</t>
  </si>
  <si>
    <t>Supply of Biege stone marble for F0, F1, penthouse + roof — Ta Xbiex site</t>
  </si>
  <si>
    <t>VAT 1055-2337. New Ta Xbiex job.</t>
  </si>
  <si>
    <t>MD-048</t>
  </si>
  <si>
    <t>Pembroke</t>
  </si>
  <si>
    <t>Supply of Travertine crosscut sills — Pembroke site</t>
  </si>
  <si>
    <t>VAT MT17813220. Split: 80% cash €1,769.70 + 20% barter €442.43.</t>
  </si>
  <si>
    <t>MD-049</t>
  </si>
  <si>
    <t>Supply of Travertine crosscut sills — Pieta site (ordered by Kevin)</t>
  </si>
  <si>
    <t>VAT MT17813220. Split: 80% cash €608.36 + 20% barter €152.10.</t>
  </si>
  <si>
    <t>MD-050</t>
  </si>
  <si>
    <t>Supply of Bianco Carrera (5 pieces, 1.80×49 cm)</t>
  </si>
  <si>
    <t>Bianco Carrera</t>
  </si>
  <si>
    <t>Client "PURCHASE ORDER 1" (Marsa, no VAT) — identify.</t>
  </si>
  <si>
    <t>MD-051</t>
  </si>
  <si>
    <t>Flat + Penthouse</t>
  </si>
  <si>
    <t>Supply of marble — flat, penthouse &amp; stairs</t>
  </si>
  <si>
    <t>MD-052</t>
  </si>
  <si>
    <t>CHARLES BORG</t>
  </si>
  <si>
    <t>Supply of marble</t>
  </si>
  <si>
    <t>VAT 17757914, Marsa.</t>
  </si>
  <si>
    <t>MD-053</t>
  </si>
  <si>
    <t>4 kitchens</t>
  </si>
  <si>
    <t>Supply &amp; Install of Calacatta Vena Oro 12 mm — 4 kitchens</t>
  </si>
  <si>
    <t>Calacatta Vena Oro</t>
  </si>
  <si>
    <t>Client "PURCHASE ORDER 1" (Marsa, no VAT) — identify. Large kitchen job (€12,508).</t>
  </si>
  <si>
    <t>MD-054</t>
  </si>
  <si>
    <t>Supply &amp; Install of Travertine + engraving (with material)</t>
  </si>
  <si>
    <t>MD-055</t>
  </si>
  <si>
    <t>Supply &amp; Install of Façade Travertine (40×60, 55 sqm) + Travertine stairs &amp; entrance (198.6 sqm)</t>
  </si>
  <si>
    <t>VAT 20541622. Large façade + stairs quote (€33,367.57). Existing client.</t>
  </si>
  <si>
    <t>MD-056</t>
  </si>
  <si>
    <t>VGP PROPERTY INVESTMENT COMPANY LIMITED</t>
  </si>
  <si>
    <t>Xlendi, Gozo (Villas 1 &amp; 2)</t>
  </si>
  <si>
    <t>Supply &amp; Install of Alpha Biege thresholds &amp; sills — Villas 1 &amp; 2, Xlendi Gozo (incl. delivery to Gozo)</t>
  </si>
  <si>
    <t>Alpha Biege</t>
  </si>
  <si>
    <t>VAT 28035504, Naxxar. 50% deposit €1,450.22 noted on doc. Incl. €250 Gozo delivery.</t>
  </si>
  <si>
    <t>MD-057</t>
  </si>
  <si>
    <t>Supply of Traonyx Marble (10.06 sqm)</t>
  </si>
  <si>
    <t>Traonyx</t>
  </si>
  <si>
    <t>Doc customer "Rober Rmx" = Robert (RMX Ltd).</t>
  </si>
  <si>
    <t>MD-058</t>
  </si>
  <si>
    <t>Sliema Hotel</t>
  </si>
  <si>
    <t>Supply of Travertine — Sliema Hotel: Stairs+Landings 88.6 sqm @ €90, Skatlatora+Bastun 79 lm @ €20, Sills 8.2 sqm @ €90</t>
  </si>
  <si>
    <t>Figures set to ISSUED Quote 282 PDF (23/01/2026) = €12,144.56 incl VAT. ⚠ Earlier workbook entry was €18,833.04 (larger scope incl walls/floors) — confirm if walls/floors are a separate quote. Pairs with installation Q285 (MD-060). VAT MT17813220.</t>
  </si>
  <si>
    <t>MD-059</t>
  </si>
  <si>
    <t>Supply of Premium Travertine — Sliema Hotel @ €110/sqm</t>
  </si>
  <si>
    <t>Travertine (premium)</t>
  </si>
  <si>
    <t>SLIEMA HOTEL — SUPPLY OPTION B (premium @ €110/sqm). Alternative to Q282 (standard @ €90). Pairs with installation Q285.</t>
  </si>
  <si>
    <t>MD-060</t>
  </si>
  <si>
    <t>Installation of Travertine — Sliema Hotel: Landings 48 sqm @ €36, Stairs+Skatlatora+Bastun 77 steps @ €38, Sills 8.2 sqm @ €38</t>
  </si>
  <si>
    <t>Figures set to ISSUED Quote 285 PDF (27/01/2026) = €5,859.41 incl VAT. ⚠ Earlier workbook entry was €11,307.46 (larger scope) — confirm. Adds to supply Q282 (MD-058). VAT MT17813220.</t>
  </si>
  <si>
    <t>MD-061</t>
  </si>
  <si>
    <t>Vince</t>
  </si>
  <si>
    <t>Fgura (block)</t>
  </si>
  <si>
    <t>Supply of Biege stone marble — stairs, risers, landings + Italian-style skirting</t>
  </si>
  <si>
    <t>VINCE FGURA BLOCK — SUPPLY OPTION A (Biege stone). Alternative to Q287 (Silvia). Pairs with installation Q288.</t>
  </si>
  <si>
    <t>MD-062</t>
  </si>
  <si>
    <t>Supply of Silvia Marble — stairs, risers, landings + Italian-style skirting</t>
  </si>
  <si>
    <t>VINCE FGURA BLOCK — SUPPLY OPTION B (Silvia). Alternative to Q286 (Biege). Pairs with installation Q288.</t>
  </si>
  <si>
    <t>MD-063</t>
  </si>
  <si>
    <t>Installation of stairs, landings &amp; skirting — Fgura block</t>
  </si>
  <si>
    <t>VINCE FGURA BLOCK — INSTALLATION quote (labour). Adds to whichever supply option (Q286 or Q287) is chosen.</t>
  </si>
  <si>
    <t>MD-064</t>
  </si>
  <si>
    <t>Bahar ic-Caghaq (site)</t>
  </si>
  <si>
    <t>Bahar ic-Caghaq</t>
  </si>
  <si>
    <t>Supply of marble — Crema Marfil floors, brushed Crema Marfil bathrooms, travertine façade, Bianco Carrera sills</t>
  </si>
  <si>
    <t>Crema Marfil / Travertine / Bianco</t>
  </si>
  <si>
    <t>BAHAR IC-CAGHAQ JOB — SUPPLY. Pairs with installation Q291 (same areas). Large quote.</t>
  </si>
  <si>
    <t>MD-065</t>
  </si>
  <si>
    <t>Installation of marble floors, façade &amp; sills</t>
  </si>
  <si>
    <t>BAHAR IC-CAGHAQ JOB — INSTALLATION (matches supply Q290 areas). Doc was labelled "PURCHASE ORDER 1" but it is the same job as Q290.</t>
  </si>
  <si>
    <t>MD-066</t>
  </si>
  <si>
    <t>Rower Grech</t>
  </si>
  <si>
    <t>Doc customer "ROWER GRECH" (Marsa, no VAT) — confirm name/VAT.</t>
  </si>
  <si>
    <t>MD-067</t>
  </si>
  <si>
    <t>San Gwann (penthouse)</t>
  </si>
  <si>
    <t>Supply of extra marble (ordered by Robert) — penthouse pieces</t>
  </si>
  <si>
    <t>Doc customer "Robert" (San Gwann); filename hint RMX = Robert (RMX Ltd). Extra pieces.</t>
  </si>
  <si>
    <t>MD-068</t>
  </si>
  <si>
    <t>Supply &amp; Install of Prestige Grey marble sills (70 lm)</t>
  </si>
  <si>
    <t>Prestige Grey</t>
  </si>
  <si>
    <t>PROJECT TECHNIK SILLS — material OPTION (Prestige Grey). Likely alternative to Grey Risen (Q295) &amp; Travertine crosscut. NB: quote no. 294 was reused for two different quotes.</t>
  </si>
  <si>
    <t>MD-069</t>
  </si>
  <si>
    <t>Supply &amp; Install of Grey Risen marble sills (70 lm)</t>
  </si>
  <si>
    <t>Grey Risen</t>
  </si>
  <si>
    <t>PROJECT TECHNIK SILLS — material OPTION (Grey Risen). Alternative to Prestige Grey (Q294) &amp; Travertine crosscut.</t>
  </si>
  <si>
    <t>MD-070</t>
  </si>
  <si>
    <t>Supply &amp; Install of Travertine crosscut sills (70 lm)</t>
  </si>
  <si>
    <t>PROJECT TECHNIK SILLS — material OPTION (Travertine crosscut). Shares quote no. 294 with the Prestige Grey quote (factory numbering error) — confirm.</t>
  </si>
  <si>
    <t>MD-071</t>
  </si>
  <si>
    <t>Supply &amp; Install of Lilac marble sink &amp; backsplash</t>
  </si>
  <si>
    <t>Lilac Marble</t>
  </si>
  <si>
    <t>Client "PURCHASE ORDER 1" — identify. Install estimated €200–300.</t>
  </si>
  <si>
    <t>MD-072</t>
  </si>
  <si>
    <t>Leon Debono</t>
  </si>
  <si>
    <t>Hal Ghaxaq</t>
  </si>
  <si>
    <t>Supply &amp; Install of Creama Dino sills (incl. delivery)</t>
  </si>
  <si>
    <t>Creama Dino</t>
  </si>
  <si>
    <t>VAT not on doc — confirm. Lifter &amp; permits NOT included.</t>
  </si>
  <si>
    <t>MD-073</t>
  </si>
  <si>
    <t>Mariestelle</t>
  </si>
  <si>
    <t>Zejtun</t>
  </si>
  <si>
    <t>Supply &amp; Install of Prestige Grey stairs + skatlatora + bastun</t>
  </si>
  <si>
    <t>Doc customer "Mariestelle" (Zejtun, no VAT) — confirm.</t>
  </si>
  <si>
    <t>MD-074</t>
  </si>
  <si>
    <t>Supply &amp; Install of Prestige Grey &amp; Bianco Carrera — main + fire-exit staircases, roof/round/level sills</t>
  </si>
  <si>
    <t>Prestige Grey / Bianco Carrera</t>
  </si>
  <si>
    <t>Client "PURCHASE ORDER 1" — identify. Largest open quote (€42,441.06).</t>
  </si>
  <si>
    <t>MD-075</t>
  </si>
  <si>
    <t>GO PROPERTY LIMITED</t>
  </si>
  <si>
    <t>Pembroke (Triq il-Fortizza)</t>
  </si>
  <si>
    <t>Supply of Marble — Pembroke site</t>
  </si>
  <si>
    <t>VAT MT29919721, 148 Teal Court Flat 37, Triq Santa Venera, Msida. Fiscal invoice. Payable to Masoud Badr.</t>
  </si>
  <si>
    <t>MD-076</t>
  </si>
  <si>
    <t>Supply &amp; Install of Calacatta Viola Sink &amp; Back Splash</t>
  </si>
  <si>
    <t>Calacatta Viola</t>
  </si>
  <si>
    <t>Doc customer "PURCHASE ORDER 1" (Marsa, no VAT) — identify client. Supply €3,205 + install €200 (install varies €200–300).</t>
  </si>
  <si>
    <t>MD-077</t>
  </si>
  <si>
    <t>Floriana (Triq Antonio Aguis)</t>
  </si>
  <si>
    <t>Supply &amp; Install of Bianco Carrera Sills</t>
  </si>
  <si>
    <t>VAT 28035504, Naxxar. Bianco sills €349.50 + install €198 + delivery €35.</t>
  </si>
  <si>
    <t>MD-078</t>
  </si>
  <si>
    <t>Supply of Travertine Crosscut Sills &amp; Stairs</t>
  </si>
  <si>
    <t>Travertine Crosscut</t>
  </si>
  <si>
    <t>VAT MT17813220. Sills 18–27cm 81.40lm@23; sills ≤17cm 7.20lm@19; sills &gt;33cm 0.80sqm@90; install of sills €1,555. MEASURED — cut list in Measurement Pipeline (L-032).</t>
  </si>
  <si>
    <t>MD-079</t>
  </si>
  <si>
    <t>Floriana</t>
  </si>
  <si>
    <t>Supply &amp; Install of Marble — Sills &amp; Stairs, F-1 to Roof Level</t>
  </si>
  <si>
    <t>Travertine / Marble</t>
  </si>
  <si>
    <t>VAT 28035504. Supply sills 22sqm@73 + stairs 12.2sqm@73; install sills €1,399.95 + stairs €549 + delivery €150. MEASURED — cut list in Measurement Pipeline (L-034).</t>
  </si>
  <si>
    <t>MD-080</t>
  </si>
  <si>
    <t>Joesph Guzieppe Callus</t>
  </si>
  <si>
    <t>Supply &amp; Install of Dino Brushed Stairs + Sills — Mosta site</t>
  </si>
  <si>
    <t>Dino Brushed / Beige Atone</t>
  </si>
  <si>
    <t>Mosta (no VAT — confirm). Dino stairs+skirting 40sqm@90; install step+riser+skirting 45sqm@45; Dino/risen/beige-atone sills; install sills 12lm@17.</t>
  </si>
  <si>
    <t>MD-081</t>
  </si>
  <si>
    <t>Maria</t>
  </si>
  <si>
    <t>Mosta (Il-Maxtura)</t>
  </si>
  <si>
    <t>Supply &amp; Install of Taj Mahal Kitchen Top + Splash Back + Island (2cm)</t>
  </si>
  <si>
    <t>Taj Mahal</t>
  </si>
  <si>
    <t>VAT 26849627, Il-Maxtura 1 Alley 2, Mosta. Kitchentop+splashback+island €5,630 + install €550 + delivery €50 + lifter €40.</t>
  </si>
  <si>
    <t>MD-082</t>
  </si>
  <si>
    <t>Itiana</t>
  </si>
  <si>
    <t>Marsaskala</t>
  </si>
  <si>
    <t>Supply &amp; Install of Travertine — multi-floor (GF + floors 1-5 + back yard)</t>
  </si>
  <si>
    <t>Marsaskala (no VAT — confirm). Floors @ €85/sqm (1/2/3 14.8, 4th 13.8, 5th 13.3, GF 3.2, backyard 8.3); installation 217lm@15.</t>
  </si>
  <si>
    <t>MD-083</t>
  </si>
  <si>
    <t>Naxxar (site)</t>
  </si>
  <si>
    <t>Naxxar</t>
  </si>
  <si>
    <t>Supply &amp; Install of Marble Works</t>
  </si>
  <si>
    <t>Doc on "PURCHASE ORDER 1" template, customer "Naxxar" (no VAT) — identify. Delivery note (not fiscal). Payable to Masoud Badr.</t>
  </si>
  <si>
    <t>MD-084</t>
  </si>
  <si>
    <t>May Grech</t>
  </si>
  <si>
    <t>Marsaxlokk (Triq il-Kuncizzjoni)</t>
  </si>
  <si>
    <t>Supply + Delivery of Marble — Marsaxlokk site (155 sqm)</t>
  </si>
  <si>
    <t>Marsaxlokk (no VAT — confirm). 155sqm @ €70 = €10,850 less €759.50 discount. 40% deposit €4,762.71 stated (CONFIRM received); balance €7,144.08 on delivery. Ref Quote 289. Payable to Masoud Badr.</t>
  </si>
  <si>
    <t>MD-085</t>
  </si>
  <si>
    <t>ACTYF LTD</t>
  </si>
  <si>
    <t>Sliema (Tower Road)</t>
  </si>
  <si>
    <t>Supply &amp; Install of Quarzite (behind reception) + Extra Travertine (near planter)</t>
  </si>
  <si>
    <t>Quarzite / Travertine</t>
  </si>
  <si>
    <t>VAT 21397311, 161D Tower Road, Sliema. Quarzite €765 + install €380 (light €180); extra travertine €1,017 + install €432. Delivery note. Payable to Masoud Badr.</t>
  </si>
  <si>
    <t>MD-086</t>
  </si>
  <si>
    <t>Supply &amp; Install of Travertine for Entrances — Birkirkara</t>
  </si>
  <si>
    <t>VAT 26150532. Entrance 12.14sqm@85 + install 12.40sqm@34 + skirting 9lm + skirting install. Delivery note. Payable to Masoud Badr.</t>
  </si>
  <si>
    <t>TOTALS →</t>
  </si>
  <si>
    <t>CLIENT DIRECTORY</t>
  </si>
  <si>
    <t>Client ID</t>
  </si>
  <si>
    <t>Client Name</t>
  </si>
  <si>
    <t>VAT No.</t>
  </si>
  <si>
    <t>Location / Address</t>
  </si>
  <si>
    <t>Contact (phone / email)</t>
  </si>
  <si>
    <t>Client Type</t>
  </si>
  <si>
    <t>First Job</t>
  </si>
  <si>
    <t># Docs</t>
  </si>
  <si>
    <t>Total Quoted</t>
  </si>
  <si>
    <t>Total Invoiced</t>
  </si>
  <si>
    <t>Received</t>
  </si>
  <si>
    <t>Outstanding</t>
  </si>
  <si>
    <t>Materials / Notes</t>
  </si>
  <si>
    <t>C-001</t>
  </si>
  <si>
    <t>26150532</t>
  </si>
  <si>
    <t>Isabella Court Flt, Triq il-Mejjiesa, Birkirkara</t>
  </si>
  <si>
    <t>Developer / Contractor</t>
  </si>
  <si>
    <t>Biege stone lift cladding (Pieta).</t>
  </si>
  <si>
    <t>C-002</t>
  </si>
  <si>
    <t>12949330</t>
  </si>
  <si>
    <t>Triq id-Difiza Civili, Mosta MST1741</t>
  </si>
  <si>
    <t>Construction Co.</t>
  </si>
  <si>
    <t>Biege limestone (Airport).</t>
  </si>
  <si>
    <t>C-003</t>
  </si>
  <si>
    <t>20541622</t>
  </si>
  <si>
    <t>BG House No.3, Triq Guliernu Lorenzi, Zebbug</t>
  </si>
  <si>
    <t>Developer</t>
  </si>
  <si>
    <t>Travertine sills &amp; stairs across 12 flats. Incl. 1 credit note (vs Inv 400190).</t>
  </si>
  <si>
    <t>C-004</t>
  </si>
  <si>
    <t>12527802</t>
  </si>
  <si>
    <t>St Julians</t>
  </si>
  <si>
    <t>Travertine + Galala sills &amp; stairs (Pieta).</t>
  </si>
  <si>
    <t>C-005</t>
  </si>
  <si>
    <t>1055-2337</t>
  </si>
  <si>
    <t>122 Msida Valley Road, Birkirkara</t>
  </si>
  <si>
    <t>Contractor</t>
  </si>
  <si>
    <t>Lava Black stairs &amp; façade + extra Lava door sills (Mriehel).</t>
  </si>
  <si>
    <t>C-006</t>
  </si>
  <si>
    <t>MT17813220</t>
  </si>
  <si>
    <t>Triq l-Artigjanat Zone 4, Birkirkara Centre</t>
  </si>
  <si>
    <t>Travertine supply; Villa Fiorini sill replacement; touch-up &amp; paint (Sliema).</t>
  </si>
  <si>
    <t>C-007</t>
  </si>
  <si>
    <t>MT19667814</t>
  </si>
  <si>
    <t>Cannon Road, Qormi QRM9032</t>
  </si>
  <si>
    <t>Trista Grey supply.</t>
  </si>
  <si>
    <t>C-008</t>
  </si>
  <si>
    <t>mt13709420</t>
  </si>
  <si>
    <t>59 The Orchids, Triq is-Soll, Santa Venera</t>
  </si>
  <si>
    <t>Private</t>
  </si>
  <si>
    <t>Marble supply &amp; install. Project €13,806; balance €8,283.60 outstanding (deposit paid).</t>
  </si>
  <si>
    <t>C-009</t>
  </si>
  <si>
    <t>— (confirm)</t>
  </si>
  <si>
    <t>Luqa Airport project</t>
  </si>
  <si>
    <t>Project / Site</t>
  </si>
  <si>
    <t>Biege lime stone supply &amp; install — old quote, confirm status.</t>
  </si>
  <si>
    <t>C-010</t>
  </si>
  <si>
    <t>Marble slab supply quote — confirm client name &amp; VAT.</t>
  </si>
  <si>
    <t>C-011</t>
  </si>
  <si>
    <t>Private / TBC</t>
  </si>
  <si>
    <t>Hand-crafted marble designs quote (doc labelled "MARSA").</t>
  </si>
  <si>
    <t>C-012</t>
  </si>
  <si>
    <t>TBC</t>
  </si>
  <si>
    <t>Silvia marble supply (doc labelled "MARSA"; filename: Robert/RMX).</t>
  </si>
  <si>
    <t>C-013</t>
  </si>
  <si>
    <t>15 Howard Street, Sliema</t>
  </si>
  <si>
    <t>Private / Contractor</t>
  </si>
  <si>
    <t>7 lifts cladding quote.</t>
  </si>
  <si>
    <t>C-014</t>
  </si>
  <si>
    <t>Granite supply, cut to ~22 sizes (Buggiba). Doc has no VAT — confirm full name &amp; contact.</t>
  </si>
  <si>
    <t>C-015</t>
  </si>
  <si>
    <t>Marsa / Siggiewi</t>
  </si>
  <si>
    <t>Biege travertine sills supply.</t>
  </si>
  <si>
    <t>C-016</t>
  </si>
  <si>
    <t>1690-8714</t>
  </si>
  <si>
    <t>Biege stone sills supply (24 lm).</t>
  </si>
  <si>
    <t>C-017</t>
  </si>
  <si>
    <t>Kitchen top quotes — Quartz Gold (Q264) OR Quartz Calacatta Gold (Q265); two options, client picks one. No VAT on doc.</t>
  </si>
  <si>
    <t>C-018</t>
  </si>
  <si>
    <t>MT30717708</t>
  </si>
  <si>
    <t>MRA041, Valletta Road, Industrial Estate, Marsa MRS3000</t>
  </si>
  <si>
    <t>Property / Developer</t>
  </si>
  <si>
    <t>Plastering, painting &amp; touch-up (Inv 5000140 &amp; 5000141). *** Billed under MD FINISHES (VAT MT25476001 / Mohammed Aldeeb), NOT MD Marble — confirm if it belongs in these books.</t>
  </si>
  <si>
    <t>C-019</t>
  </si>
  <si>
    <t>MT28194902</t>
  </si>
  <si>
    <t>Dragonara Road, Paceville, St Julians</t>
  </si>
  <si>
    <t>Hospitality / Resort</t>
  </si>
  <si>
    <t>Hammered marble extra pool pieces (ordered by Emmanuel).</t>
  </si>
  <si>
    <t>C-020</t>
  </si>
  <si>
    <t>MT2630-3713</t>
  </si>
  <si>
    <t>Arzella, Triq Xitwija / Gizi, Swieqi</t>
  </si>
  <si>
    <t>Contractor / Co.</t>
  </si>
  <si>
    <t>Crema Marfil extra sills (ordered by Ronaldo). Quote 268 -&gt; Invoice 400205.</t>
  </si>
  <si>
    <t>C-021</t>
  </si>
  <si>
    <t>TBC — multiple jobs</t>
  </si>
  <si>
    <t>PLACEHOLDER name "PURCHASE ORDER 1" on many docs — needs identifying. Jobs: Crema Galal (Q271), Travertine Noce PH (Q274), Crema Galala+Tundra (Q277), Gharghur crosscut (1000268), Bianco Carrera (1000273), marble flat/PH/stairs (1000274), Calacatta kitchens (1000276), Travertine+engraving (1000279). Likely several different end-clients.</t>
  </si>
  <si>
    <t>C-022</t>
  </si>
  <si>
    <t>MT23109635</t>
  </si>
  <si>
    <t>113 Msida Park, Triq l-irmiġġ, Msida MSD1011</t>
  </si>
  <si>
    <t>Developer / Investments</t>
  </si>
  <si>
    <t>Bianco marble supply &amp; install, Attard site (DN 1000265).</t>
  </si>
  <si>
    <t>C-023</t>
  </si>
  <si>
    <t>4 Timber Wharf, Marsa</t>
  </si>
  <si>
    <t>Bianco marble supply &amp; install, Attard site (DN 1000266). VAT shows 00000 — confirm. Possibly linked to UDRI Investments (same Attard site).</t>
  </si>
  <si>
    <t>C-024</t>
  </si>
  <si>
    <t>17757914</t>
  </si>
  <si>
    <t>Marble supply (Inv 400206).</t>
  </si>
  <si>
    <t>C-025</t>
  </si>
  <si>
    <t>28035504</t>
  </si>
  <si>
    <t>B1 The Windgates, Torri Tal-Kaptan, Naxxar NXR2152</t>
  </si>
  <si>
    <t>Alpha Biege thresholds &amp; sills — Xlendi Gozo villas 1 &amp; 2 (DN 1000280).</t>
  </si>
  <si>
    <t>C-026</t>
  </si>
  <si>
    <t>Fgura</t>
  </si>
  <si>
    <t>Fgura block — supply options Biege (Q286) OR Silvia (Q287), plus installation (Q288). No VAT.</t>
  </si>
  <si>
    <t>C-027</t>
  </si>
  <si>
    <t>Large job — supply (Q290 €31,875) + installation (Q291 €11,621): Crema Marfil floors, travertine façade, Bianco Carrera sills. Install quote was labelled "PURCHASE ORDER 1". Identify end-client.</t>
  </si>
  <si>
    <t>C-028</t>
  </si>
  <si>
    <t>Marble supply (Inv 400213). No VAT — confirm name.</t>
  </si>
  <si>
    <t>C-029</t>
  </si>
  <si>
    <t>Creama Dino sills quote (Q297). Lifter &amp; permits not included.</t>
  </si>
  <si>
    <t>C-030</t>
  </si>
  <si>
    <t>Prestige Grey stairs quote (Q298). No VAT — confirm.</t>
  </si>
  <si>
    <t>C-031</t>
  </si>
  <si>
    <t>MT29919721</t>
  </si>
  <si>
    <t>148 Teal Court Flat 37, Triq Santa Venera, Msida</t>
  </si>
  <si>
    <t>Developer / Property</t>
  </si>
  <si>
    <t>Marble supply, Pembroke site (Triq il-Fortizza). Inv 400214.</t>
  </si>
  <si>
    <t>C-032</t>
  </si>
  <si>
    <t>Dino brushed stairs + sills, Mosta — quote 292 (awaiting).</t>
  </si>
  <si>
    <t>C-033</t>
  </si>
  <si>
    <t>26849627</t>
  </si>
  <si>
    <t>Il-Maxtura 1 Alley 2, Mosta</t>
  </si>
  <si>
    <t>Taj Mahal kitchen top, splashback &amp; island — quote 305 (awaiting).</t>
  </si>
  <si>
    <t>C-034</t>
  </si>
  <si>
    <t>Travertine multi-floor supply &amp; install — quote 306 (awaiting).</t>
  </si>
  <si>
    <t>C-035</t>
  </si>
  <si>
    <t>Triq il-Kuncizzjoni, Marsaxlokk</t>
  </si>
  <si>
    <t>Marble supply+delivery 155sqm (Marsaxlokk). 40% deposit on Inv 1000287.</t>
  </si>
  <si>
    <t>C-036</t>
  </si>
  <si>
    <t>21397311</t>
  </si>
  <si>
    <t>161D Tower Road, Sliema SLM1603</t>
  </si>
  <si>
    <t>Hospitality / Co.</t>
  </si>
  <si>
    <t>Quarzite (reception) + extra travertine (planter) — Inv 1000293.</t>
  </si>
  <si>
    <t>C-037</t>
  </si>
  <si>
    <t>Project / Site (TBC)</t>
  </si>
  <si>
    <t>Small supply &amp; install (Inv 1000289). Doc on "Purchase Order 1" template — identify client.</t>
  </si>
  <si>
    <t>MEASUREMENT  →  QUOTE  →  DEPOSIT  →  START</t>
  </si>
  <si>
    <t>Ref</t>
  </si>
  <si>
    <t>Date Logged</t>
  </si>
  <si>
    <t>Client / Site</t>
  </si>
  <si>
    <t>Contact</t>
  </si>
  <si>
    <t>Location</t>
  </si>
  <si>
    <t>Work Required</t>
  </si>
  <si>
    <t>Stage</t>
  </si>
  <si>
    <t>Measure Date</t>
  </si>
  <si>
    <t>Quote Value</t>
  </si>
  <si>
    <t>Deposit Req.</t>
  </si>
  <si>
    <t>Deposit Paid?</t>
  </si>
  <si>
    <t>Target Start</t>
  </si>
  <si>
    <t>Default deposit %</t>
  </si>
  <si>
    <t>L-001</t>
  </si>
  <si>
    <t>Supply of marble slabs (limestone / travertine)</t>
  </si>
  <si>
    <t>Quote Sent — Awaiting Confirmation</t>
  </si>
  <si>
    <t>Confirm client identity &amp; VAT.</t>
  </si>
  <si>
    <t>L-002</t>
  </si>
  <si>
    <t>Hand-crafted marble designs, bullnose + polish</t>
  </si>
  <si>
    <t>Doc labelled "MARSA".</t>
  </si>
  <si>
    <t>L-003</t>
  </si>
  <si>
    <t>Lava Black stairs &amp; façade (31.6 sqm)</t>
  </si>
  <si>
    <t>Linked to delivered extras (MD-016).</t>
  </si>
  <si>
    <t>L-004</t>
  </si>
  <si>
    <t>Remove &amp; replace marble sills</t>
  </si>
  <si>
    <t>Existing client (ICI Ltd).</t>
  </si>
  <si>
    <t>L-005</t>
  </si>
  <si>
    <t>Supply &amp; install 7 lifts cladding</t>
  </si>
  <si>
    <t>Per-floor delivery included.</t>
  </si>
  <si>
    <t>L-006</t>
  </si>
  <si>
    <t>Biege lime stone supply &amp; install</t>
  </si>
  <si>
    <t>Old quote — confirm if still open.</t>
  </si>
  <si>
    <t>L-007</t>
  </si>
  <si>
    <t>Supply of kitchen top — Quartz Gold</t>
  </si>
  <si>
    <t>OPTION A (vs Q265 Calacatta). Client picks ONE.</t>
  </si>
  <si>
    <t>L-008</t>
  </si>
  <si>
    <t>Supply of kitchen top — Quartz Calacatta Gold</t>
  </si>
  <si>
    <t>OPTION B (vs Q264 Quartz Gold). Client picks ONE.</t>
  </si>
  <si>
    <t>L-009</t>
  </si>
  <si>
    <t>Supply &amp; install travertine — pool &amp; barbeque area</t>
  </si>
  <si>
    <t>Existing client. Separate from Mriehel &amp; Ta Xbiex jobs.</t>
  </si>
  <si>
    <t>L-010</t>
  </si>
  <si>
    <t>Supply &amp; install Biege stone — stairs &amp; skirting (Attard)</t>
  </si>
  <si>
    <t>Confirmed — Deposit Paid</t>
  </si>
  <si>
    <t>WON — invoiced as Delivery-Invoice 1000294 (see Orders MD-030). 40% deposit per doc.</t>
  </si>
  <si>
    <t>L-011</t>
  </si>
  <si>
    <t>Supply &amp; install Crema Galala — stairs, landing &amp; entrance (65.6 sqm)</t>
  </si>
  <si>
    <t>Client labelled "PURCHASE ORDER 1" — identify.</t>
  </si>
  <si>
    <t>L-012</t>
  </si>
  <si>
    <t>Supply &amp; install Biege stone — internal/external stairs &amp; skirting (Birkirkara)</t>
  </si>
  <si>
    <t>WON — invoiced as Delivery-Invoice 1000295 (see Orders MD-032). 40% deposit per doc.</t>
  </si>
  <si>
    <t>L-013</t>
  </si>
  <si>
    <t>Penthouse</t>
  </si>
  <si>
    <t>Supply &amp; install Travertine Noce — penthouse (8.6 sqm)</t>
  </si>
  <si>
    <t>L-014</t>
  </si>
  <si>
    <t>Supply of Crema Galala &amp; Tundra — stairs, flooring, walls, sills, edges</t>
  </si>
  <si>
    <t>Client labelled "PURCHASE ORDER 1" — identify. Large quote.</t>
  </si>
  <si>
    <t>L-015</t>
  </si>
  <si>
    <t>Supply &amp; install Façade Travertine + stairs &amp; entrance (253.6 sqm total)</t>
  </si>
  <si>
    <t>Existing client. Large quote.</t>
  </si>
  <si>
    <t>L-016</t>
  </si>
  <si>
    <t>Supply of Travertine @ €90/sqm — walls, floors, stairs, sills</t>
  </si>
  <si>
    <t>SLIEMA HOTEL supply OPTION A (standard). Alt to Q284 (premium). + installation Q285. Site measured.</t>
  </si>
  <si>
    <t>L-017</t>
  </si>
  <si>
    <t>Supply of Premium Travertine @ €110/sqm</t>
  </si>
  <si>
    <t>SLIEMA HOTEL supply OPTION B (premium). Alt to Q282 (standard). + installation Q285.</t>
  </si>
  <si>
    <t>L-018</t>
  </si>
  <si>
    <t>Installation of Travertine — walls, floors, stairs, landings, sills</t>
  </si>
  <si>
    <t>SLIEMA HOTEL installation. Adds to chosen supply (Q282 or Q284).</t>
  </si>
  <si>
    <t>L-019</t>
  </si>
  <si>
    <t>Supply of Biege stone — stairs, risers, landings, skirting</t>
  </si>
  <si>
    <t>FGURA BLOCK supply OPTION A (Biege). Alt to Q287 (Silvia). + install Q288.</t>
  </si>
  <si>
    <t>L-020</t>
  </si>
  <si>
    <t>Supply of Silvia marble — stairs, risers, landings, skirting</t>
  </si>
  <si>
    <t>FGURA BLOCK supply OPTION B (Silvia). Alt to Q286 (Biege). + install Q288.</t>
  </si>
  <si>
    <t>L-021</t>
  </si>
  <si>
    <t>Installation of stairs, landings &amp; skirting</t>
  </si>
  <si>
    <t>FGURA BLOCK installation. Adds to chosen supply (Q286 or Q287).</t>
  </si>
  <si>
    <t>L-022</t>
  </si>
  <si>
    <t>Supply — Crema Marfil floors, bathrooms, travertine façade, Bianco Carrera sills</t>
  </si>
  <si>
    <t>BAHAR IC-CAGHAQ supply. Pairs with install Q291. Large.</t>
  </si>
  <si>
    <t>L-023</t>
  </si>
  <si>
    <t>BAHAR IC-CAGHAQ installation (matches Q290). Doc labelled "PURCHASE ORDER 1".</t>
  </si>
  <si>
    <t>L-024</t>
  </si>
  <si>
    <t>Supply &amp; install Prestige Grey sills (70 lm)</t>
  </si>
  <si>
    <t>PROJECT TECHNIK sills — material OPTION (Prestige Grey). Quote no. 294 reused for 2 quotes.</t>
  </si>
  <si>
    <t>L-025</t>
  </si>
  <si>
    <t>Supply &amp; install Grey Risen sills (70 lm)</t>
  </si>
  <si>
    <t>PROJECT TECHNIK sills — material OPTION (Grey Risen).</t>
  </si>
  <si>
    <t>L-026</t>
  </si>
  <si>
    <t>Supply &amp; install Travertine crosscut sills (70 lm)</t>
  </si>
  <si>
    <t>PROJECT TECHNIK sills — material OPTION (Travertine crosscut). Shares quote no. 294 with Prestige Grey.</t>
  </si>
  <si>
    <t>L-027</t>
  </si>
  <si>
    <t>Supply &amp; install Lilac marble sink &amp; backsplash</t>
  </si>
  <si>
    <t>Client "PURCHASE ORDER 1" — identify.</t>
  </si>
  <si>
    <t>L-028</t>
  </si>
  <si>
    <t>Supply &amp; install Creama Dino sills</t>
  </si>
  <si>
    <t>Lifter &amp; permits not included.</t>
  </si>
  <si>
    <t>L-029</t>
  </si>
  <si>
    <t>Supply &amp; install Prestige Grey stairs + skatlatora</t>
  </si>
  <si>
    <t>Confirm client name/VAT.</t>
  </si>
  <si>
    <t>L-030</t>
  </si>
  <si>
    <t>Supply &amp; install Prestige Grey &amp; Bianco Carrera staircases + sills</t>
  </si>
  <si>
    <t>Client "PURCHASE ORDER 1" — identify. Largest open quote.</t>
  </si>
  <si>
    <t>L-031</t>
  </si>
  <si>
    <t>Supply &amp; install Calacatta Viola sink &amp; backsplash</t>
  </si>
  <si>
    <t>Identify client. Install €200–300.</t>
  </si>
  <si>
    <t>L-032</t>
  </si>
  <si>
    <t>Supply of Travertine crosscut sills &amp; stairs</t>
  </si>
  <si>
    <t>VAT MT17813220. MEASURED — cut list. F1 sills: 152.5×35, 4.55×21, 1.05×21 ×2, 1.115×26, 79.5×12, 1.09×26, 62×12, 98×26, 2.42×21, 1.12×21, 1.10×21. F2 sills: 1.51×26, 4.295×21, 1.02×21 ×2, 1.135×26, 80×12, 1.09×26, 99.5×26, 62×12, 1.09×26, 2.03×21, 1.01×21 ×2. F3 sills: 150.5×26, 4.29×21, 1.02×21 ×2, 1.15×26, 89×12, 1.09×26, 1.10×26, 62×12, 99.5×12, 2.03×21, 1.02×21 ×2. Penthouse: 3.955×27, 48.5×27, 6.75×27, 4.28×27, 49×27, 1.15×26, 1.10×26, 60×12, 80×12, 4.30×27, 3.75×27 ×2, 1.30×27, 1.51×21. Stairs: 94×1.50 ×4, 1.50×1.10 ×8, 1.15×2.20 ×4. Entrance: 1.15×2.20, 94×50 ×6, 2.10×3.50, 3.10×1.50. Outdoor: 2.70×1.50. (m unless cm)</t>
  </si>
  <si>
    <t>L-033</t>
  </si>
  <si>
    <t>Supply &amp; install Bianco Carrera sills</t>
  </si>
  <si>
    <t>VAT 28035504. Bianco sills + install + delivery, Triq Antonio Aguis.</t>
  </si>
  <si>
    <t>L-034</t>
  </si>
  <si>
    <t>Supply &amp; install sills &amp; stairs, F-1 to roof</t>
  </si>
  <si>
    <t>VAT 28035504. MEASURED — cut list (F-1 to roof). F-1 sills: 1.07×27, 1.10×27, 90×42, 91×41, 2.70×20 ×2, 70×20 ×2; F-1 stairs: 2.50×1.11, 15×1.11 ×6. F-2 sills: 4.53×25, 4.53×21, 91×36, 91×35.5, 91×35.4, 3.50×26, 4.40×22, 92×36, 91×36, 2.24×26 ×2, 1.42×26; F-2 stairs: 1.85×1.11, 1.11×15 ×5, 1.11×23 ×3. F-3 sills: 2.20×26 ×2, 90×40 ×2, 91×40 ×2, 92×40, 1.42×26; F-3 stairs: 1.33×1.11 ×2, 1.11×15 ×2, 1.11×40, 1.11×50. Roof sills: 75×26 ×2, 80.5×26, 12.55×26, 8.75×26, 2.90×18, 1.63×18, 2.00×26 ×2, 1.40×26. (m unless cm)</t>
  </si>
  <si>
    <t>L-035</t>
  </si>
  <si>
    <t>Supply &amp; install Dino brushed stairs + sills</t>
  </si>
  <si>
    <t>No VAT on doc — confirm.</t>
  </si>
  <si>
    <t>L-036</t>
  </si>
  <si>
    <t>Supply &amp; install Taj Mahal kitchen top + splashback + island</t>
  </si>
  <si>
    <t>VAT 26849627, Il-Maxtura, Mosta.</t>
  </si>
  <si>
    <t>L-037</t>
  </si>
  <si>
    <t>Supply &amp; install travertine, multi-floor</t>
  </si>
  <si>
    <t>CUTTING LOG  —  what the machine cutter cut each day</t>
  </si>
  <si>
    <t>Cutter</t>
  </si>
  <si>
    <t>Invoice / Quote</t>
  </si>
  <si>
    <t>Pieces / Sizes Cut</t>
  </si>
  <si>
    <t>Sqm Cut</t>
  </si>
  <si>
    <t>Lm Cut</t>
  </si>
  <si>
    <t>Chamfer Done?</t>
  </si>
  <si>
    <t>Chamfer By</t>
  </si>
  <si>
    <t>Status</t>
  </si>
  <si>
    <t>Cutter (rename)</t>
  </si>
  <si>
    <t>1000255</t>
  </si>
  <si>
    <t>27 sqm slabs cut to size</t>
  </si>
  <si>
    <t>Chamfer (rename)</t>
  </si>
  <si>
    <t>Completed</t>
  </si>
  <si>
    <t>EXAMPLE — Trista Grey order delivered</t>
  </si>
  <si>
    <t>1000256</t>
  </si>
  <si>
    <t>Sills: 90.5×26, 66×26, 91×26, 1m×26, 1m×25, 90×32, 84×10, 54×10, 88×21, 86×21 (11 pcs)</t>
  </si>
  <si>
    <t>Ready for Delivery</t>
  </si>
  <si>
    <t>EXAMPLE — travertine sills</t>
  </si>
  <si>
    <t>1000258</t>
  </si>
  <si>
    <t>Install pieces — Santa Venera</t>
  </si>
  <si>
    <t>In Progress</t>
  </si>
  <si>
    <t>EXAMPLE — supply &amp; install balance</t>
  </si>
  <si>
    <t>DAILY WORK LOG  —  what every worker did today</t>
  </si>
  <si>
    <t>Worker</t>
  </si>
  <si>
    <t>Role</t>
  </si>
  <si>
    <t>Activity</t>
  </si>
  <si>
    <t>Details (what they did)</t>
  </si>
  <si>
    <t>Qty (pcs)</t>
  </si>
  <si>
    <t>Sqm / Lm</t>
  </si>
  <si>
    <t>Hours</t>
  </si>
  <si>
    <t>Machine Cutter</t>
  </si>
  <si>
    <t>Cutting</t>
  </si>
  <si>
    <t>Cut 11 travertine sills to required sizes</t>
  </si>
  <si>
    <t>EXAMPLE</t>
  </si>
  <si>
    <t>Chamfer</t>
  </si>
  <si>
    <t>Chamfering</t>
  </si>
  <si>
    <t>Chamfered / edged 11 sills</t>
  </si>
  <si>
    <t>Helper (rename)</t>
  </si>
  <si>
    <t>Helper</t>
  </si>
  <si>
    <t>Factory Help</t>
  </si>
  <si>
    <t>Moved slabs to cutter, cleaned, stacked finished pieces</t>
  </si>
  <si>
    <t>Driver (rename)</t>
  </si>
  <si>
    <t>Driver</t>
  </si>
  <si>
    <t>Delivery</t>
  </si>
  <si>
    <t>Lee (Marsa)</t>
  </si>
  <si>
    <t>Delivered finished sills to site + unloaded</t>
  </si>
  <si>
    <t>Helped load van, moved offcuts, tidied yard</t>
  </si>
  <si>
    <t>Cut 27 sqm Trista Grey to size</t>
  </si>
  <si>
    <t>WORKER ATTENDANCE  —  arrival times, factory &amp; outside</t>
  </si>
  <si>
    <t>Work Location</t>
  </si>
  <si>
    <t>Time In</t>
  </si>
  <si>
    <t>Time Out</t>
  </si>
  <si>
    <t>Factory</t>
  </si>
  <si>
    <t>Present</t>
  </si>
  <si>
    <t>—</t>
  </si>
  <si>
    <t>Late</t>
  </si>
  <si>
    <t>In 15 min late</t>
  </si>
  <si>
    <t>Outside / Site</t>
  </si>
  <si>
    <t>Deliveries Marsa + Qormi</t>
  </si>
  <si>
    <t>Installer (rename)</t>
  </si>
  <si>
    <t>Installer</t>
  </si>
  <si>
    <t>On site — Zebbug flats</t>
  </si>
  <si>
    <t>WORKERS  —  team roster</t>
  </si>
  <si>
    <t>Worker ID</t>
  </si>
  <si>
    <t>Name</t>
  </si>
  <si>
    <t>Base</t>
  </si>
  <si>
    <t>Phone</t>
  </si>
  <si>
    <t>Rate</t>
  </si>
  <si>
    <t>Rate Type</t>
  </si>
  <si>
    <t>Start Date</t>
  </si>
  <si>
    <t>W-001</t>
  </si>
  <si>
    <t>Daily</t>
  </si>
  <si>
    <t>Active</t>
  </si>
  <si>
    <t>Operates the cutting machine.</t>
  </si>
  <si>
    <t>W-002</t>
  </si>
  <si>
    <t>Chamfer / Edging</t>
  </si>
  <si>
    <t>Chamfering / bullnose / edge finishing.</t>
  </si>
  <si>
    <t>W-003</t>
  </si>
  <si>
    <t>Moves slabs, assists cutter, yard work.</t>
  </si>
  <si>
    <t>W-004</t>
  </si>
  <si>
    <t>Driver / Delivery</t>
  </si>
  <si>
    <t>Both</t>
  </si>
  <si>
    <t>Deliveries + helps in factory between runs.</t>
  </si>
  <si>
    <t>W-005</t>
  </si>
  <si>
    <t>Fits sills, stairs, cladding on site.</t>
  </si>
  <si>
    <t>W-006</t>
  </si>
  <si>
    <t>Mason (rename)</t>
  </si>
  <si>
    <t>Mason / Fixer</t>
  </si>
  <si>
    <t>Leveling, fixing, finishing on site.</t>
  </si>
  <si>
    <t>HOW TO USE THIS WORKBOOK</t>
  </si>
  <si>
    <t>TAB</t>
  </si>
  <si>
    <t>WHAT IT IS FOR</t>
  </si>
  <si>
    <t>Dashboard</t>
  </si>
  <si>
    <t>Live snapshot — money invoiced, money received, money still owed, and value of quotes not yet confirmed. Updates by itself.</t>
  </si>
  <si>
    <t>Orders &amp; Payments</t>
  </si>
  <si>
    <t>The heart of the system. One row per quote, invoice or delivery note. Fill the YELLOW cells (Deposit/Paid, Lead Time, Delivery date). "Pending" works out Total − Paid automatically. As you upload more invoices, add a new row at the bottom.</t>
  </si>
  <si>
    <t>Client Directory</t>
  </si>
  <si>
    <t>Every client pulled from your documents. Quoted / Invoiced / Received / Outstanding totals add up automatically per client from the Orders tab. Just fill in their phone/email.</t>
  </si>
  <si>
    <t>Measurement Pipeline</t>
  </si>
  <si>
    <t>Your sales funnel: who needs a site measurement, who has a quote, who paid a deposit, when work can start. Open quotes are pre-loaded. Suggested deposit = Quote × the % in the box (top-right, default 30%).</t>
  </si>
  <si>
    <t>Cutting Log</t>
  </si>
  <si>
    <t>Daily record of what the cutting-machine man cut — which order, sizes, sqm, whether it was chamfered and by whom, and whether it is ready to deliver.</t>
  </si>
  <si>
    <t>Daily Work Log</t>
  </si>
  <si>
    <t>What EVERY worker did each day — cutter, chamfer, helper, driver (deliveries + factory help) and installers. One line per task, linked to an Order ID.</t>
  </si>
  <si>
    <t>Attendance</t>
  </si>
  <si>
    <t>Clock-in / clock-out with arrival time. "Work Location" splits factory vs outside staff. Hours calculate automatically from the times.</t>
  </si>
  <si>
    <t>Workers</t>
  </si>
  <si>
    <t>Team roster. Replace "(rename)" with real names.</t>
  </si>
  <si>
    <t>COLOURS</t>
  </si>
  <si>
    <t>MEANING</t>
  </si>
  <si>
    <t>Yellow cell</t>
  </si>
  <si>
    <t>Type your information here.</t>
  </si>
  <si>
    <t>Green status</t>
  </si>
  <si>
    <t>Done / Paid / Confirmed.</t>
  </si>
  <si>
    <t>Amber status</t>
  </si>
  <si>
    <t>In progress / Pending / Late — needs attention.</t>
  </si>
  <si>
    <t>Red status</t>
  </si>
  <si>
    <t>Action needed / Absent / Measurement needed.</t>
  </si>
  <si>
    <t>Blue status</t>
  </si>
  <si>
    <t>Information / Awaiting confirmation.</t>
  </si>
  <si>
    <t>WORKFLOW</t>
  </si>
  <si>
    <t>TYPICAL FLOW</t>
  </si>
  <si>
    <t>1. New lead</t>
  </si>
  <si>
    <t>Add to Measurement Pipeline → "Measurement Needed".</t>
  </si>
  <si>
    <t>2. Measured &amp; quoted</t>
  </si>
  <si>
    <t>Set stage to "Quote Sent", add quote no. &amp; value. Suggested deposit appears.</t>
  </si>
  <si>
    <t>3. Client agrees</t>
  </si>
  <si>
    <t>Take deposit → stage "Confirmed — Deposit Paid". Add the job as a row in Orders &amp; Payments and log the deposit.</t>
  </si>
  <si>
    <t>4. Production</t>
  </si>
  <si>
    <t>Cutter logs cutting (Cutting Log); team logs daily tasks (Work Log); attendance recorded daily.</t>
  </si>
  <si>
    <t>5. Delivery / install</t>
  </si>
  <si>
    <t>Supply-only paid on delivery; supply &amp; install paid on completion. Log payment in Orders → Pending drops to zero.</t>
  </si>
  <si>
    <t>B1 The Windgates, Naxxar NXR2152</t>
  </si>
  <si>
    <t>Supply of Bianco Carrera Sills, Triq Antonio Aguis Floriana</t>
  </si>
  <si>
    <t>On completion</t>
  </si>
  <si>
    <t>Invoiced</t>
  </si>
  <si>
    <t>Balance Due €769.95</t>
  </si>
  <si>
    <t>Supply &amp; Install of Travertine, Marsaskala (Multiple floors + Back Yard)</t>
  </si>
  <si>
    <t>40% deposit €3,678.76 — confirm received</t>
  </si>
  <si>
    <t>MD-087</t>
  </si>
  <si>
    <t>MSIDA</t>
  </si>
  <si>
    <t>Supply &amp; Install Bianco Carrara Sills (Roof Sills, Round Sills, Level 1+2+3+4, Install)</t>
  </si>
  <si>
    <t>Bianco Carrara</t>
  </si>
  <si>
    <t>On confirmation</t>
  </si>
  <si>
    <t>Open quote — add to Measurement Pipeline</t>
  </si>
  <si>
    <t>MD-088</t>
  </si>
  <si>
    <t>GUDJA</t>
  </si>
  <si>
    <t>Gudja</t>
  </si>
  <si>
    <t>Supply &amp; Install Staircase Beige (Stairs &amp; Skirting)</t>
  </si>
  <si>
    <t>Beige Staircase</t>
  </si>
  <si>
    <t>C-038</t>
  </si>
  <si>
    <t>C-039</t>
  </si>
  <si>
    <t>Invoiced — Delivery-Invoice 1000290</t>
  </si>
  <si>
    <t>Invoiced — Delivery-Invoice 1000296</t>
  </si>
  <si>
    <t>L-038</t>
  </si>
  <si>
    <t>L-039</t>
  </si>
  <si>
    <t>MD-089</t>
  </si>
  <si>
    <t>Cassar Ship Repair Ltd</t>
  </si>
  <si>
    <t>Slip No 6 Cross Road, Marsa</t>
  </si>
  <si>
    <t>Supply of Marble Sills</t>
  </si>
  <si>
    <t>Marble Sills</t>
  </si>
  <si>
    <t>VAT MT11461431 — Supply only — paid on delivery</t>
  </si>
  <si>
    <t>MD-090</t>
  </si>
  <si>
    <t>Marsaxlokk</t>
  </si>
  <si>
    <t>Supply of Marble for Penthouse</t>
  </si>
  <si>
    <t>Supply only — paid on delivery</t>
  </si>
  <si>
    <t>MD-091</t>
  </si>
  <si>
    <t>Malta International Airport PLC</t>
  </si>
  <si>
    <t>Luqa LQA 4000</t>
  </si>
  <si>
    <t>Supply &amp; Delivery of Lime Stone Sills (10m x 14cm + Delivery)</t>
  </si>
  <si>
    <t>Lime Stone</t>
  </si>
  <si>
    <t>MD-092</t>
  </si>
  <si>
    <t>Stalagmite Connections</t>
  </si>
  <si>
    <t>Mqabba</t>
  </si>
  <si>
    <t>Supply of Marble Stair Fgura Etienne — Deposit</t>
  </si>
  <si>
    <t>Marble Stair</t>
  </si>
  <si>
    <t>VAT 18130814 — Deposit invoice — confirm received; full balance due on completion</t>
  </si>
  <si>
    <t>MD-093</t>
  </si>
  <si>
    <t>Blane</t>
  </si>
  <si>
    <t>Santa Lucia</t>
  </si>
  <si>
    <t>Supply of Crema Marfil Sills + Delivery, Santa Lucia</t>
  </si>
  <si>
    <t>C-040</t>
  </si>
  <si>
    <t>MT11461431</t>
  </si>
  <si>
    <t>C-041</t>
  </si>
  <si>
    <t>Corporate / Airport</t>
  </si>
  <si>
    <t>C-042</t>
  </si>
  <si>
    <t>18130814</t>
  </si>
  <si>
    <t>C-043</t>
  </si>
  <si>
    <t>L-040</t>
  </si>
  <si>
    <t>Supply of Crema Marfil Sills + Delivery</t>
  </si>
  <si>
    <t>Open quote — Santa Lucia</t>
  </si>
  <si>
    <t>MD-094</t>
  </si>
  <si>
    <t>MD-095</t>
  </si>
  <si>
    <t>MD-096</t>
  </si>
  <si>
    <t>MD-097</t>
  </si>
  <si>
    <t>MD-098</t>
  </si>
  <si>
    <t>MARSA</t>
  </si>
  <si>
    <t>Supply of Crema Galala Sills + Delivery</t>
  </si>
  <si>
    <t>Quotation (Purchase Order)</t>
  </si>
  <si>
    <t>Quote/Pending</t>
  </si>
  <si>
    <t>Client name not on document — confirm client name</t>
  </si>
  <si>
    <t>Arzella Xitwija, Triq Gizi, Swieqi</t>
  </si>
  <si>
    <t>Supply of Marble Marsaskala</t>
  </si>
  <si>
    <t>Gordon Vella</t>
  </si>
  <si>
    <t>Supply of Light Travertine Sills (Sills, Stairs, Entrance)</t>
  </si>
  <si>
    <t>Light Travertine</t>
  </si>
  <si>
    <t>BJORN</t>
  </si>
  <si>
    <t>Zabbar</t>
  </si>
  <si>
    <t>Supply &amp; Install Bianco Marble &amp; Nero Assaluto</t>
  </si>
  <si>
    <t>Bianco Marble / Nero Assaluto</t>
  </si>
  <si>
    <t>Supply &amp; Install Quarzite &amp; Crema Marfil Marble (back light included with installation)</t>
  </si>
  <si>
    <t>Quarzite / Crema Marfil</t>
  </si>
  <si>
    <t>Open quote — back light included with installation; add to Measurement Pipeline</t>
  </si>
  <si>
    <t>C-044</t>
  </si>
  <si>
    <t>C-045</t>
  </si>
  <si>
    <t>C-046</t>
  </si>
  <si>
    <t>C-047</t>
  </si>
  <si>
    <t>16456105</t>
  </si>
  <si>
    <t>Corporate / TBC</t>
  </si>
  <si>
    <t>L-041</t>
  </si>
  <si>
    <t>L-042</t>
  </si>
  <si>
    <t>L-043</t>
  </si>
  <si>
    <t>L-044</t>
  </si>
  <si>
    <t>Q318 — MARSA / Marsa</t>
  </si>
  <si>
    <t>Q323 — Gordon Vella / Msida</t>
  </si>
  <si>
    <t>Q324 — BJORN / Zabbar</t>
  </si>
  <si>
    <t>Q325 — BJORN / Zabbar</t>
  </si>
  <si>
    <t>Supply of Crema Galala Sills + Delivery — Open quote</t>
  </si>
  <si>
    <t>Supply of Light Travertine Sills — Open quote</t>
  </si>
  <si>
    <t>Supply &amp; Install Bianco Marble &amp; Nero Assaluto — Open quote</t>
  </si>
  <si>
    <t>Supply &amp; Install Quarzite &amp; Crema Marfil — back light included</t>
  </si>
  <si>
    <t>Quote/Pending — client name unconfirmed on document</t>
  </si>
  <si>
    <t>Commercial</t>
  </si>
  <si>
    <t>1000302</t>
  </si>
  <si>
    <t>MD Marble — Client Price Book</t>
  </si>
  <si>
    <t>Doc Ref</t>
  </si>
  <si>
    <t>Site</t>
  </si>
  <si>
    <t>Material / Item</t>
  </si>
  <si>
    <t>Unit</t>
  </si>
  <si>
    <t>Qty</t>
  </si>
  <si>
    <t>Unit Price (€)</t>
  </si>
  <si>
    <t>Item Total (€)</t>
  </si>
  <si>
    <t>ITIANA</t>
  </si>
  <si>
    <t>VGP Property Investment Company Limited</t>
  </si>
  <si>
    <t>Q324</t>
  </si>
  <si>
    <t>Q325</t>
  </si>
  <si>
    <t>Q317</t>
  </si>
  <si>
    <t>Inv400215</t>
  </si>
  <si>
    <t>Q323</t>
  </si>
  <si>
    <t>Q310</t>
  </si>
  <si>
    <t>1000296/Q306</t>
  </si>
  <si>
    <t>1000299/Q299</t>
  </si>
  <si>
    <t>Q318</t>
  </si>
  <si>
    <t>1000298</t>
  </si>
  <si>
    <t>Q309</t>
  </si>
  <si>
    <t>Inv400217</t>
  </si>
  <si>
    <t>1000290/Q303</t>
  </si>
  <si>
    <t>Luqa</t>
  </si>
  <si>
    <t>Nero Assaluto</t>
  </si>
  <si>
    <t>Installation</t>
  </si>
  <si>
    <t>Crema Marfil Sills</t>
  </si>
  <si>
    <t>Light Travertine Sills</t>
  </si>
  <si>
    <t>Light Travertine Stairs</t>
  </si>
  <si>
    <t>Light Travertine Entrance</t>
  </si>
  <si>
    <t>Supply of Stairs and Skirting (Beige)</t>
  </si>
  <si>
    <t>Installation of Stairs and Skirting</t>
  </si>
  <si>
    <t>Travertine (1st-2nd-3rd Floor)</t>
  </si>
  <si>
    <t>Travertine (4th Floor)</t>
  </si>
  <si>
    <t>Travertine (5th Floor)</t>
  </si>
  <si>
    <t>Travertine (Ground Floor)</t>
  </si>
  <si>
    <t>Travertine (Back Yard)</t>
  </si>
  <si>
    <t>Lime Stone Sills 10m×14cm</t>
  </si>
  <si>
    <t>Crema Galala Sills</t>
  </si>
  <si>
    <t>Marble (Penthouse)</t>
  </si>
  <si>
    <t>Bianco Carrara Roof Sills</t>
  </si>
  <si>
    <t>Bianco Carrara Round Sills</t>
  </si>
  <si>
    <t>Bianco Carrara Sills Level 1+2+3+4</t>
  </si>
  <si>
    <t>Installation (all sills)</t>
  </si>
  <si>
    <t>Marble Stair Fgura Etienne (deposit)</t>
  </si>
  <si>
    <t>Bianco Carrera Sills</t>
  </si>
  <si>
    <t>Extra Piece 2.40×25cm</t>
  </si>
  <si>
    <t>Installation (incl. back light)</t>
  </si>
  <si>
    <t>unit</t>
  </si>
  <si>
    <t>SQM</t>
  </si>
  <si>
    <t>Lm</t>
  </si>
  <si>
    <t>Back light included</t>
  </si>
  <si>
    <t>Client name not confirmed on doc</t>
  </si>
  <si>
    <t>Deposit invoice — full order TBC</t>
  </si>
  <si>
    <t>Quarzite</t>
  </si>
  <si>
    <t>1000303</t>
  </si>
  <si>
    <t>Q309 revised — original quote €17,941.43 (incl install + Round Sills). Invoice covers supply only, revised scope. Deposit €2,573.34 — confirm received.</t>
  </si>
  <si>
    <t>Amounts corrected per revised PDF. Old entry: €13,609.16 excl / €16,058.81 incl.</t>
  </si>
  <si>
    <t>MD-099</t>
  </si>
  <si>
    <t>MOSTA</t>
  </si>
  <si>
    <t>Supply of Travertine Beige Atone (Main Stairs, Sills, Second Stair Case, Facade)</t>
  </si>
  <si>
    <t>Travertine Beige Atone</t>
  </si>
  <si>
    <t>1000304</t>
  </si>
  <si>
    <t>Client name not on document — confirm; supply-only invoice; see also Inv 1000305 (installation)</t>
  </si>
  <si>
    <t>MD-100</t>
  </si>
  <si>
    <t>Installation of Travertine Beige Atone (Stairs, Sills, Facade)</t>
  </si>
  <si>
    <t>1000305</t>
  </si>
  <si>
    <t>Installation Only</t>
  </si>
  <si>
    <t>Installation invoice for same Mosta job as Inv 1000304; client name not confirmed</t>
  </si>
  <si>
    <t>C-048</t>
  </si>
  <si>
    <t>Supply &amp; install Travertine Beige Atone (Mosta) — Inv 1000304 (supply) + Inv 1000305 (install). Client name not confirmed.</t>
  </si>
  <si>
    <t>Invoiced — Delivery-Invoice 1000303 (partial, deposit paid)</t>
  </si>
  <si>
    <t>Inv1000303/Q309</t>
  </si>
  <si>
    <t>[REMOVED] Old Sills Level 1+2+3+4 entry — revised, see Inv 1000303</t>
  </si>
  <si>
    <t>revised — see Inv 1000303</t>
  </si>
  <si>
    <t>[REMOVED] Old Installation (all sills) entry — revised, see Inv 1000303</t>
  </si>
  <si>
    <t>MOSTA (Mosta)</t>
  </si>
  <si>
    <t>Inv1000304</t>
  </si>
  <si>
    <t>Travertine Beige Atone — Main Stairs</t>
  </si>
  <si>
    <t>Travertine Beige Atone — Sills</t>
  </si>
  <si>
    <t>Travertine Beige Atone — Second Stair Case</t>
  </si>
  <si>
    <t>Facade Travertine (40x60cm) 1.2mm</t>
  </si>
  <si>
    <t>Inv1000305</t>
  </si>
  <si>
    <t>Installation — Stairs</t>
  </si>
  <si>
    <t>Installation — Sills</t>
  </si>
  <si>
    <t>Installation — Facade</t>
  </si>
  <si>
    <t>Client name not on document — confirm; supply-only invoice; see also Inv 1000305 (installation) | Main Stairs revised 259→279 SQM. Old: €35,372.00 excl / €41,738.96 incl.</t>
  </si>
  <si>
    <t>MD-101</t>
  </si>
  <si>
    <t>Stefan Gajic</t>
  </si>
  <si>
    <t>Sliema</t>
  </si>
  <si>
    <t>Supply of Bianco Carrera Tables (4 tables 80×80cm, 1.90×80cm + 10cm Bastuon 45° cut) + Delivery</t>
  </si>
  <si>
    <t>1000306</t>
  </si>
  <si>
    <t>Supply only — paid on delivery; 4 tables Bianco Carrera</t>
  </si>
  <si>
    <t>1000307</t>
  </si>
  <si>
    <t>VAT MT17813220. Sills 18–27cm 81.40lm@23; sills ≤17cm 7.20lm@19; sills &gt;33cm 0.80sqm@90; install of sills €1,555. MEASURED — cut list in Measurement Pipeline (L-032). | Updated per Delivery-Invoice 1000307; old amounts flagged if different</t>
  </si>
  <si>
    <t>MD-102</t>
  </si>
  <si>
    <t>Target Developments Ltd</t>
  </si>
  <si>
    <t>Isabella Court, Flt Triq il-Mejjiesa, Manikata MLH 5134</t>
  </si>
  <si>
    <t>Travertine Supply &amp; Install — Remaining 30% Payment, Gzira Penthouse</t>
  </si>
  <si>
    <t>1000231</t>
  </si>
  <si>
    <t>Final 30% payment Gzira Penthouse — €1,890.48 pending per invoice; VAT 000000 confirm client details</t>
  </si>
  <si>
    <t>MD-103</t>
  </si>
  <si>
    <t>ST Projects Ltd</t>
  </si>
  <si>
    <t>143 The Strand, Gzira</t>
  </si>
  <si>
    <t>Supply of Galal Marble Gzira (width-based: up to 30cm @ €16/Lm, 32cm @ €17.20/Lm, 43cm @ €23.80/Lm)</t>
  </si>
  <si>
    <t>Galal Marble</t>
  </si>
  <si>
    <t>1000309</t>
  </si>
  <si>
    <t>Supply only — paid on delivery; width-based pricing</t>
  </si>
  <si>
    <t>C-049</t>
  </si>
  <si>
    <t>C-050</t>
  </si>
  <si>
    <t>C-051</t>
  </si>
  <si>
    <t>Stefan Gajic (Sliema)</t>
  </si>
  <si>
    <t>Supply of Bianco Carrera Tables (80×80cm)</t>
  </si>
  <si>
    <t>4 tables, 1.90×80cm + 10cm Bastuon 45° cut</t>
  </si>
  <si>
    <t>ICI LIMITED (Birkirkara)</t>
  </si>
  <si>
    <t>1000307/Q302</t>
  </si>
  <si>
    <t>Travertine Crosscut Sills 18–27cm</t>
  </si>
  <si>
    <t>Travertine Crosscut Sills ≤17cm</t>
  </si>
  <si>
    <t>Travertine Crosscut Sills &gt;33cm</t>
  </si>
  <si>
    <t>Installation of Sills</t>
  </si>
  <si>
    <t>Target Developments Ltd (Manikata)</t>
  </si>
  <si>
    <t>Manikata</t>
  </si>
  <si>
    <t>Travertine — Gzira Penthouse (remaining 30% payment)</t>
  </si>
  <si>
    <t>Partial — €1,890.48 still pending</t>
  </si>
  <si>
    <t>ST Projects Ltd (Gzira)</t>
  </si>
  <si>
    <t>Gzira</t>
  </si>
  <si>
    <t>Galal Marble Sills — Up to 30cm width</t>
  </si>
  <si>
    <t>Galal Marble Sills — 32cm width</t>
  </si>
  <si>
    <t>Galal Marble Sills — 43cm width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</si>
</sst>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€#,##0.00;&quot;-€&quot;#,##0.00;\-"/>
    <numFmt numFmtId="166" formatCode="#,##0"/>
    <numFmt numFmtId="167" formatCode="dd/mm/yyyy"/>
    <numFmt numFmtId="168" formatCode="0%"/>
    <numFmt numFmtId="169" formatCode="#,##0.0;\-#,##0.0;\-"/>
    <numFmt numFmtId="170" formatCode="0.0"/>
    <numFmt numFmtId="171" formatCode="hh:mm"/>
    <numFmt numFmtId="172" formatCode="\€#,##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B8762E"/>
      <name val="Arial"/>
      <family val="0"/>
      <charset val="1"/>
    </font>
    <font>
      <b val="true"/>
      <sz val="9"/>
      <color rgb="FF6B5B45"/>
      <name val="Arial"/>
      <family val="0"/>
      <charset val="1"/>
    </font>
    <font>
      <b val="true"/>
      <sz val="15"/>
      <color rgb="FF2F364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2"/>
    </font>
    <font>
      <b val="true"/>
      <sz val="8"/>
      <color rgb="FF6B5B45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1F3864"/>
      <name val="Arial"/>
      <family val="0"/>
    </font>
  </fonts>
  <fills count="16">
    <fill>
      <patternFill patternType="none"/>
    </fill>
    <fill>
      <patternFill patternType="gray125"/>
    </fill>
    <fill>
      <patternFill patternType="solid">
        <fgColor rgb="FFB8762E"/>
        <bgColor rgb="FF8A6100"/>
      </patternFill>
    </fill>
    <fill>
      <patternFill patternType="solid">
        <fgColor rgb="FF4B5563"/>
        <bgColor rgb="FF595959"/>
      </patternFill>
    </fill>
    <fill>
      <patternFill patternType="solid">
        <fgColor rgb="FFF3EEE6"/>
        <bgColor rgb="FFEDEDED"/>
      </patternFill>
    </fill>
    <fill>
      <patternFill patternType="solid">
        <fgColor rgb="FF2F3640"/>
        <bgColor rgb="FF3F3F3F"/>
      </patternFill>
    </fill>
    <fill>
      <patternFill patternType="solid">
        <fgColor rgb="FFF7F7F7"/>
        <bgColor rgb="FFFFFFFF"/>
      </patternFill>
    </fill>
    <fill>
      <patternFill patternType="solid">
        <fgColor rgb="FFFFF8E1"/>
        <bgColor rgb="FFF7F7F7"/>
      </patternFill>
    </fill>
    <fill>
      <patternFill patternType="solid">
        <fgColor rgb="FFEDEDED"/>
        <bgColor rgb="FFF3EEE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8E1"/>
      </patternFill>
    </fill>
    <fill>
      <patternFill patternType="solid">
        <fgColor rgb="FFFFC7CE"/>
        <bgColor rgb="FFD9D9D9"/>
      </patternFill>
    </fill>
    <fill>
      <patternFill patternType="solid">
        <fgColor rgb="FFBDD7EE"/>
        <bgColor rgb="FFD0D0D0"/>
      </patternFill>
    </fill>
    <fill>
      <patternFill patternType="solid">
        <fgColor rgb="FF1F3864"/>
        <bgColor rgb="FF1F3864"/>
      </patternFill>
    </fill>
    <fill>
      <patternFill patternType="solid">
        <fgColor rgb="FF2E4057"/>
        <bgColor rgb="FF2E4057"/>
      </patternFill>
    </fill>
    <fill>
      <patternFill patternType="solid">
        <fgColor rgb="FFFFFACD"/>
        <bgColor rgb="FFFFFAC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0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2" fontId="1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13" borderId="0" xfId="0" applyFont="true" applyBorder="false" applyAlignment="true" applyProtection="false">
      <alignment horizontal="center" vertical="center" textRotation="0" wrapText="false" indent="0" shrinkToFit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</xf>
    <xf numFmtId="167" fontId="10" fillId="0" borderId="1" xfId="0" applyFont="true" applyBorder="true" applyAlignment="true" applyProtection="false">
      <alignment horizontal="left" vertical="top" textRotation="0" wrapText="false" indent="0" shrinkToFit="false"/>
    </xf>
    <xf numFmtId="165" fontId="10" fillId="0" borderId="1" xfId="0" applyFont="true" applyBorder="true" applyAlignment="true" applyProtection="false">
      <alignment horizontal="right" vertical="top" textRotation="0" wrapText="false" indent="0" shrinkToFit="false"/>
    </xf>
    <xf numFmtId="164" fontId="16" fillId="15" borderId="1" xfId="0" applyFont="true" applyBorder="true" applyAlignment="true" applyProtection="false">
      <alignment horizontal="left" vertical="center" textRotation="0" wrapText="false" indent="1" shrinkToFit="false"/>
    </xf>
    <xf numFmtId="2" fontId="10" fillId="0" borderId="1" xfId="0" applyFont="true" applyBorder="true" applyAlignment="true" applyProtection="false">
      <alignment horizontal="right" vertical="top" textRotation="0" wrapText="false" indent="0" shrinkToFit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2F36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3F3F3F"/>
          <bgColor rgb="FF000000"/>
        </patternFill>
      </fill>
    </dxf>
    <dxf>
      <fill>
        <patternFill patternType="solid">
          <fgColor rgb="FF8A6100"/>
          <bgColor rgb="FF000000"/>
        </patternFill>
      </fill>
    </dxf>
    <dxf>
      <font>
        <name val="Arial"/>
        <charset val="1"/>
        <family val="0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color rgb="FF8A6100"/>
        <sz val="10"/>
      </font>
      <fill>
        <patternFill>
          <bgColor rgb="FFFFEB9C"/>
        </patternFill>
      </fill>
    </dxf>
    <dxf>
      <font>
        <name val="Arial"/>
        <charset val="1"/>
        <family val="0"/>
        <color rgb="FF1F4E79"/>
        <sz val="10"/>
      </font>
      <fill>
        <patternFill>
          <bgColor rgb="FFBDD7EE"/>
        </patternFill>
      </fill>
    </dxf>
    <dxf>
      <font>
        <name val="Arial"/>
        <charset val="1"/>
        <family val="0"/>
        <color rgb="FF3F3F3F"/>
        <sz val="10"/>
      </font>
      <fill>
        <patternFill>
          <bgColor rgb="FFD9D9D9"/>
        </patternFill>
      </fill>
    </dxf>
    <dxf>
      <fill>
        <patternFill patternType="solid">
          <fgColor rgb="FFB8762E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A6100"/>
      <rgbColor rgb="FF800080"/>
      <rgbColor rgb="FF008080"/>
      <rgbColor rgb="FFD0D0D0"/>
      <rgbColor rgb="FF808080"/>
      <rgbColor rgb="FF9999FF"/>
      <rgbColor rgb="FF6B5B45"/>
      <rgbColor rgb="FFFFF8E1"/>
      <rgbColor rgb="FFEDEDED"/>
      <rgbColor rgb="FF660066"/>
      <rgbColor rgb="FFFF8080"/>
      <rgbColor rgb="FF2E5AA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7F7"/>
      <rgbColor rgb="FFC6EFCE"/>
      <rgbColor rgb="FFFFEB9C"/>
      <rgbColor rgb="FFD9D9D9"/>
      <rgbColor rgb="FFF3EEE6"/>
      <rgbColor rgb="FFCC99FF"/>
      <rgbColor rgb="FFFFC7CE"/>
      <rgbColor rgb="FF3366FF"/>
      <rgbColor rgb="FF33CCCC"/>
      <rgbColor rgb="FF99CC00"/>
      <rgbColor rgb="FFFFCC00"/>
      <rgbColor rgb="FFFF9900"/>
      <rgbColor rgb="FFB8762E"/>
      <rgbColor rgb="FF595959"/>
      <rgbColor rgb="FF969696"/>
      <rgbColor rgb="FF4B5563"/>
      <rgbColor rgb="FF2E7D32"/>
      <rgbColor rgb="FF003300"/>
      <rgbColor rgb="FF3F3F3F"/>
      <rgbColor rgb="FF993300"/>
      <rgbColor rgb="FF993366"/>
      <rgbColor rgb="FF1F4E79"/>
      <rgbColor rgb="FF2F3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Relationship Id="rId13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762E"/>
    <pageSetUpPr fitToPage="false"/>
  </sheetPr>
  <dimension ref="A1:H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18"/>
    <col collapsed="false" customWidth="true" hidden="false" outlineLevel="0" max="4" min="4" style="1" width="3"/>
    <col collapsed="false" customWidth="true" hidden="false" outlineLevel="0" max="5" min="5" style="1" width="26"/>
    <col collapsed="false" customWidth="true" hidden="false" outlineLevel="0" max="7" min="6" style="1" width="18"/>
    <col collapsed="false" customWidth="true" hidden="false" outlineLevel="0" max="8" min="8" style="1" width="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B4" s="4" t="s">
        <v>2</v>
      </c>
    </row>
    <row r="5" customFormat="false" ht="15.75" hidden="false" customHeight="true" outlineLevel="0" collapsed="false">
      <c r="B5" s="5" t="s">
        <v>3</v>
      </c>
      <c r="C5" s="5"/>
      <c r="E5" s="5" t="s">
        <v>4</v>
      </c>
      <c r="F5" s="5"/>
    </row>
    <row r="6" customFormat="false" ht="25.5" hidden="false" customHeight="true" outlineLevel="0" collapsed="false">
      <c r="B6" s="6" t="n">
        <f aca="false">SUMIF('Orders &amp; Payments'!$G$3:$G$200,"Invoice",'Orders &amp; Payments'!$N$3:$N$200)+SUMIF('Orders &amp; Payments'!$G$3:$G$200,"Delivery-Invoice",'Orders &amp; Payments'!$N$3:$N$200)</f>
        <v>139259.89</v>
      </c>
      <c r="C6" s="6"/>
      <c r="E6" s="6" t="n">
        <f aca="false">SUMIF('Orders &amp; Payments'!$G$3:$G$200,"Quotation",'Orders &amp; Payments'!$N$3:$N$200)</f>
        <v>286888.31</v>
      </c>
      <c r="F6" s="6"/>
    </row>
    <row r="8" customFormat="false" ht="15.75" hidden="false" customHeight="true" outlineLevel="0" collapsed="false">
      <c r="B8" s="5" t="s">
        <v>5</v>
      </c>
      <c r="C8" s="5"/>
      <c r="E8" s="5" t="s">
        <v>6</v>
      </c>
      <c r="F8" s="5"/>
    </row>
    <row r="9" customFormat="false" ht="25.5" hidden="false" customHeight="true" outlineLevel="0" collapsed="false">
      <c r="B9" s="6" t="n">
        <f aca="false">SUM('Orders &amp; Payments'!$O$3:$O$200)</f>
        <v>12372.58</v>
      </c>
      <c r="C9" s="6"/>
      <c r="E9" s="6" t="n">
        <f aca="false">SUMIF('Orders &amp; Payments'!$G$3:$G$200,"Invoice",'Orders &amp; Payments'!$P$3:$P$200)+SUMIF('Orders &amp; Payments'!$G$3:$G$200,"Delivery-Invoice",'Orders &amp; Payments'!$P$3:$P$200)</f>
        <v>126887.31</v>
      </c>
      <c r="F9" s="6"/>
    </row>
    <row r="11" customFormat="false" ht="15.75" hidden="false" customHeight="true" outlineLevel="0" collapsed="false">
      <c r="B11" s="5" t="s">
        <v>7</v>
      </c>
      <c r="C11" s="5"/>
      <c r="E11" s="5" t="s">
        <v>8</v>
      </c>
      <c r="F11" s="5"/>
    </row>
    <row r="12" customFormat="false" ht="25.5" hidden="false" customHeight="true" outlineLevel="0" collapsed="false">
      <c r="B12" s="7" t="n">
        <f aca="false">COUNTA('Orders &amp; Payments'!$A$3:$A$200)</f>
        <v>86</v>
      </c>
      <c r="C12" s="7"/>
      <c r="E12" s="7" t="n">
        <f aca="false">COUNTIF('Orders &amp; Payments'!$G$3:$G$200,"Quotation")</f>
        <v>35</v>
      </c>
      <c r="F12" s="7"/>
    </row>
    <row r="15" customFormat="false" ht="15" hidden="false" customHeight="true" outlineLevel="0" collapsed="false">
      <c r="B15" s="4" t="s">
        <v>9</v>
      </c>
      <c r="E15" s="4" t="s">
        <v>10</v>
      </c>
    </row>
    <row r="16" customFormat="false" ht="15" hidden="false" customHeight="true" outlineLevel="0" collapsed="false">
      <c r="B16" s="8" t="s">
        <v>11</v>
      </c>
      <c r="C16" s="8" t="s">
        <v>12</v>
      </c>
      <c r="D16" s="8" t="s">
        <v>13</v>
      </c>
      <c r="E16" s="8" t="s">
        <v>11</v>
      </c>
      <c r="F16" s="8" t="s">
        <v>12</v>
      </c>
      <c r="G16" s="8" t="s">
        <v>13</v>
      </c>
    </row>
    <row r="17" customFormat="false" ht="15" hidden="false" customHeight="true" outlineLevel="0" collapsed="false">
      <c r="B17" s="9" t="s">
        <v>14</v>
      </c>
      <c r="C17" s="10" t="n">
        <f aca="false">COUNTIF('Orders &amp; Payments'!$G$3:$G$200,"Quotation")</f>
        <v>35</v>
      </c>
      <c r="D17" s="11" t="n">
        <f aca="false">SUMIF('Orders &amp; Payments'!$G$3:$G$200,"Quotation",'Orders &amp; Payments'!$N$3:$N$200)</f>
        <v>286888.31</v>
      </c>
      <c r="E17" s="9" t="s">
        <v>15</v>
      </c>
      <c r="F17" s="10" t="n">
        <f aca="false">COUNTIF('Orders &amp; Payments'!$J$3:$J$200,"Supply Only")</f>
        <v>38</v>
      </c>
      <c r="G17" s="11" t="n">
        <f aca="false">SUMIF('Orders &amp; Payments'!$J$3:$J$200,"Supply Only",'Orders &amp; Payments'!$N$3:$N$200)</f>
        <v>167223.71</v>
      </c>
    </row>
    <row r="18" customFormat="false" ht="15" hidden="false" customHeight="true" outlineLevel="0" collapsed="false">
      <c r="B18" s="12" t="s">
        <v>16</v>
      </c>
      <c r="C18" s="13" t="n">
        <f aca="false">COUNTIF('Orders &amp; Payments'!$G$3:$G$200,"Invoice")</f>
        <v>22</v>
      </c>
      <c r="D18" s="14" t="n">
        <f aca="false">SUMIF('Orders &amp; Payments'!$G$3:$G$200,"Invoice",'Orders &amp; Payments'!$N$3:$N$200)</f>
        <v>49686.05</v>
      </c>
      <c r="E18" s="12" t="s">
        <v>17</v>
      </c>
      <c r="F18" s="13" t="n">
        <f aca="false">COUNTIF('Orders &amp; Payments'!$J$3:$J$200,"Supply &amp; Install")</f>
        <v>42</v>
      </c>
      <c r="G18" s="14" t="n">
        <f aca="false">SUMIF('Orders &amp; Payments'!$J$3:$J$200,"Supply &amp; Install",'Orders &amp; Payments'!$N$3:$N$200)</f>
        <v>244234.29</v>
      </c>
    </row>
    <row r="19" customFormat="false" ht="15" hidden="false" customHeight="true" outlineLevel="0" collapsed="false">
      <c r="B19" s="9" t="s">
        <v>18</v>
      </c>
      <c r="C19" s="10" t="n">
        <f aca="false">COUNTIF('Orders &amp; Payments'!$G$3:$G$200,"Delivery-Invoice")</f>
        <v>28</v>
      </c>
      <c r="D19" s="11" t="n">
        <f aca="false">SUMIF('Orders &amp; Payments'!$G$3:$G$200,"Delivery-Invoice",'Orders &amp; Payments'!$N$3:$N$200)</f>
        <v>89573.84</v>
      </c>
      <c r="E19" s="9" t="s">
        <v>19</v>
      </c>
      <c r="F19" s="10" t="n">
        <f aca="false">COUNTIF('Orders &amp; Payments'!$J$3:$J$200,"Service")</f>
        <v>6</v>
      </c>
      <c r="G19" s="11" t="n">
        <f aca="false">SUMIF('Orders &amp; Payments'!$J$3:$J$200,"Service",'Orders &amp; Payments'!$N$3:$N$200)</f>
        <v>24690.2</v>
      </c>
    </row>
    <row r="20" customFormat="false" ht="15" hidden="false" customHeight="true" outlineLevel="0" collapsed="false">
      <c r="B20" s="12" t="s">
        <v>20</v>
      </c>
      <c r="C20" s="13" t="n">
        <f aca="false">COUNTIF('Orders &amp; Payments'!$G$3:$G$200,"Credit Note")</f>
        <v>1</v>
      </c>
      <c r="D20" s="14" t="n">
        <f aca="false">SUMIF('Orders &amp; Payments'!$G$3:$G$200,"Credit Note",'Orders &amp; Payments'!$N$3:$N$200)</f>
        <v>10000</v>
      </c>
    </row>
    <row r="22" customFormat="false" ht="30" hidden="false" customHeight="true" outlineLevel="0" collapsed="false">
      <c r="B22" s="15" t="s">
        <v>21</v>
      </c>
      <c r="C22" s="15"/>
      <c r="D22" s="15"/>
      <c r="E22" s="15"/>
      <c r="F22" s="15"/>
      <c r="G22" s="15"/>
    </row>
  </sheetData>
  <mergeCells count="15">
    <mergeCell ref="A1:H1"/>
    <mergeCell ref="A2:H2"/>
    <mergeCell ref="B5:C5"/>
    <mergeCell ref="E5:F5"/>
    <mergeCell ref="B6:C6"/>
    <mergeCell ref="E6:F6"/>
    <mergeCell ref="B8:C8"/>
    <mergeCell ref="E8:F8"/>
    <mergeCell ref="B9:C9"/>
    <mergeCell ref="E9:F9"/>
    <mergeCell ref="B11:C11"/>
    <mergeCell ref="E11:F11"/>
    <mergeCell ref="B12:C12"/>
    <mergeCell ref="E12:F12"/>
    <mergeCell ref="B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ns0:worksheet xmlns:ns0="http://schemas.openxmlformats.org/spreadsheetml/2006/main" xmlns:ns1="http://schemas.openxmlformats.org/officeDocument/2006/relationships">
  <ns0:sheetPr filterMode="false">
    <ns0:tabColor rgb="FF2E5AAC"/>
    <ns0:pageSetUpPr fitToPage="false"/>
  </ns0:sheetPr>
  <ns0:dimension ref="A1:U102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pane xSplit="2" ySplit="2" topLeftCell="C3" activePane="bottomRight" state="frozen"/>
      <ns0:selection pane="topLeft" activeCell="A1" activeCellId="0" sqref="A1"/>
      <ns0:selection pane="topRight" activeCell="C1" activeCellId="0" sqref="C1"/>
      <ns0:selection pane="bottomLeft" activeCell="A3" activeCellId="0" sqref="A3"/>
      <ns0:selection pane="bottomRight" activeCell="A1" activeCellId="0" sqref="A1"/>
    </ns0:sheetView>
  </ns0:sheetViews>
  <ns0:sheetFormatPr defaultColWidth="8.6796875" defaultRowHeight="15" zeroHeight="false" outlineLevelRow="0" outlineLevelCol="0"/>
  <ns0:cols>
    <ns0:col collapsed="false" customWidth="true" hidden="false" outlineLevel="0" max="1" min="1" style="1" width="9"/>
    <ns0:col collapsed="false" customWidth="true" hidden="false" outlineLevel="0" max="2" min="2" style="1" width="11"/>
    <ns0:col collapsed="false" customWidth="true" hidden="false" outlineLevel="0" max="3" min="3" style="1" width="24"/>
    <ns0:col collapsed="false" customWidth="true" hidden="false" outlineLevel="0" max="4" min="4" style="1" width="18"/>
    <ns0:col collapsed="false" customWidth="true" hidden="false" outlineLevel="0" max="5" min="5" style="1" width="40"/>
    <ns0:col collapsed="false" customWidth="true" hidden="false" outlineLevel="0" max="6" min="6" style="1" width="18"/>
    <ns0:col collapsed="false" customWidth="true" hidden="false" outlineLevel="0" max="7" min="7" style="1" width="14"/>
    <ns0:col collapsed="false" customWidth="true" hidden="false" outlineLevel="0" max="8" min="8" style="1" width="10"/>
    <ns0:col collapsed="false" customWidth="true" hidden="false" outlineLevel="0" max="9" min="9" style="1" width="11"/>
    <ns0:col collapsed="false" customWidth="true" hidden="false" outlineLevel="0" max="10" min="10" style="1" width="16"/>
    <ns0:col collapsed="false" customWidth="true" hidden="false" outlineLevel="0" max="11" min="11" style="1" width="11"/>
    <ns0:col collapsed="false" customWidth="true" hidden="false" outlineLevel="0" max="12" min="12" style="1" width="13"/>
    <ns0:col collapsed="false" customWidth="true" hidden="false" outlineLevel="0" max="13" min="13" style="1" width="11"/>
    <ns0:col collapsed="false" customWidth="true" hidden="false" outlineLevel="0" max="14" min="14" style="1" width="14"/>
    <ns0:col collapsed="false" customWidth="true" hidden="false" outlineLevel="0" max="16" min="15" style="1" width="13"/>
    <ns0:col collapsed="false" customWidth="true" hidden="false" outlineLevel="0" max="17" min="17" style="1" width="22"/>
    <ns0:col collapsed="false" customWidth="true" hidden="false" outlineLevel="0" max="18" min="18" style="1" width="20"/>
    <ns0:col collapsed="false" customWidth="true" hidden="false" outlineLevel="0" max="19" min="19" style="1" width="12"/>
    <ns0:col collapsed="false" customWidth="true" hidden="false" outlineLevel="0" max="20" min="20" style="1" width="16"/>
    <ns0:col collapsed="false" customWidth="true" hidden="false" outlineLevel="0" max="21" min="21" style="1" width="34"/>
  </ns0:cols>
  <ns0:sheetData>
    <ns0:row r="1" customFormat="false" ht="30" hidden="false" customHeight="true" outlineLevel="0" collapsed="false">
      <ns0:c r="A1" s="2" t="s">
        <ns0:v>22</ns0:v>
      </ns0:c>
      <ns0:c r="B1" s="2"/>
      <ns0:c r="C1" s="2"/>
      <ns0:c r="D1" s="2"/>
      <ns0:c r="E1" s="2"/>
      <ns0:c r="F1" s="2"/>
      <ns0:c r="G1" s="2"/>
      <ns0:c r="H1" s="2"/>
      <ns0:c r="I1" s="2"/>
      <ns0:c r="J1" s="2"/>
      <ns0:c r="K1" s="2"/>
      <ns0:c r="L1" s="2"/>
      <ns0:c r="M1" s="2"/>
      <ns0:c r="N1" s="2"/>
      <ns0:c r="O1" s="2"/>
      <ns0:c r="P1" s="2"/>
      <ns0:c r="Q1" s="2"/>
      <ns0:c r="R1" s="2"/>
      <ns0:c r="S1" s="2"/>
      <ns0:c r="T1" s="2"/>
      <ns0:c r="U1" s="2"/>
    </ns0:row>
    <ns0:row r="2" customFormat="false" ht="30" hidden="false" customHeight="true" outlineLevel="0" collapsed="false">
      <ns0:c r="A2" s="16" t="s">
        <ns0:v>23</ns0:v>
      </ns0:c>
      <ns0:c r="B2" s="16" t="s">
        <ns0:v>24</ns0:v>
      </ns0:c>
      <ns0:c r="C2" s="16" t="s">
        <ns0:v>25</ns0:v>
      </ns0:c>
      <ns0:c r="D2" s="16" t="s">
        <ns0:v>26</ns0:v>
      </ns0:c>
      <ns0:c r="E2" s="16" t="s">
        <ns0:v>27</ns0:v>
      </ns0:c>
      <ns0:c r="F2" s="16" t="s">
        <ns0:v>28</ns0:v>
      </ns0:c>
      <ns0:c r="G2" s="16" t="s">
        <ns0:v>29</ns0:v>
      </ns0:c>
      <ns0:c r="H2" s="16" t="s">
        <ns0:v>30</ns0:v>
      </ns0:c>
      <ns0:c r="I2" s="16" t="s">
        <ns0:v>31</ns0:v>
      </ns0:c>
      <ns0:c r="J2" s="16" t="s">
        <ns0:v>32</ns0:v>
      </ns0:c>
      <ns0:c r="K2" s="16" t="s">
        <ns0:v>33</ns0:v>
      </ns0:c>
      <ns0:c r="L2" s="16" t="s">
        <ns0:v>34</ns0:v>
      </ns0:c>
      <ns0:c r="M2" s="16" t="s">
        <ns0:v>35</ns0:v>
      </ns0:c>
      <ns0:c r="N2" s="16" t="s">
        <ns0:v>36</ns0:v>
      </ns0:c>
      <ns0:c r="O2" s="16" t="s">
        <ns0:v>37</ns0:v>
      </ns0:c>
      <ns0:c r="P2" s="16" t="s">
        <ns0:v>38</ns0:v>
      </ns0:c>
      <ns0:c r="Q2" s="16" t="s">
        <ns0:v>39</ns0:v>
      </ns0:c>
      <ns0:c r="R2" s="16" t="s">
        <ns0:v>40</ns0:v>
      </ns0:c>
      <ns0:c r="S2" s="16" t="s">
        <ns0:v>41</ns0:v>
      </ns0:c>
      <ns0:c r="T2" s="16" t="s">
        <ns0:v>42</ns0:v>
      </ns0:c>
      <ns0:c r="U2" s="16" t="s">
        <ns0:v>43</ns0:v>
      </ns0:c>
    </ns0:row>
    <ns0:row r="3" customFormat="false" ht="34.5" hidden="false" customHeight="true" outlineLevel="0" collapsed="false">
      <ns0:c r="A3" s="17" t="s">
        <ns0:v>44</ns0:v>
      </ns0:c>
      <ns0:c r="B3" s="18" t="n">
        <ns0:v>45625</ns0:v>
      </ns0:c>
      <ns0:c r="C3" s="19" t="s">
        <ns0:v>45</ns0:v>
      </ns0:c>
      <ns0:c r="D3" s="19" t="s">
        <ns0:v>46</ns0:v>
      </ns0:c>
      <ns0:c r="E3" s="20" t="s">
        <ns0:v>47</ns0:v>
      </ns0:c>
      <ns0:c r="F3" s="19" t="s">
        <ns0:v>48</ns0:v>
      </ns0:c>
      <ns0:c r="G3" s="17" t="s">
        <ns0:v>14</ns0:v>
      </ns0:c>
      <ns0:c r="H3" s="17" t="n">
        <ns0:v>175</ns0:v>
      </ns0:c>
      <ns0:c r="I3" s="17"/>
      <ns0:c r="J3" s="19" t="s">
        <ns0:v>17</ns0:v>
      </ns0:c>
      <ns0:c r="K3" s="17" t="s">
        <ns0:v>49</ns0:v>
      </ns0:c>
      <ns0:c r="L3" s="21" t="n">
        <ns0:v>6603.32</ns0:v>
      </ns0:c>
      <ns0:c r="M3" s="21" t="n">
        <ns0:v>1188.6</ns0:v>
      </ns0:c>
      <ns0:c r="N3" s="21" t="n">
        <ns0:v>7791.92</ns0:v>
      </ns0:c>
      <ns0:c r="O3" s="22" t="n">
        <ns0:v>0</ns0:v>
      </ns0:c>
      <ns0:c r="P3" s="23" t="n">
        <ns0:f aca="false">N3-O3</ns0:f>
        <ns0:v>7791.92</ns0:v>
      </ns0:c>
      <ns0:c r="Q3" s="19" t="s">
        <ns0:v>50</ns0:v>
      </ns0:c>
      <ns0:c r="R3" s="19" t="s">
        <ns0:v>51</ns0:v>
      </ns0:c>
      <ns0:c r="S3" s="24"/>
      <ns0:c r="T3" s="25"/>
      <ns0:c r="U3" s="20" t="s">
        <ns0:v>52</ns0:v>
      </ns0:c>
    </ns0:row>
    <ns0:row r="4" customFormat="false" ht="34.5" hidden="false" customHeight="true" outlineLevel="0" collapsed="false">
      <ns0:c r="A4" s="17" t="s">
        <ns0:v>53</ns0:v>
      </ns0:c>
      <ns0:c r="B4" s="18" t="n">
        <ns0:v>45868</ns0:v>
      </ns0:c>
      <ns0:c r="C4" s="19" t="s">
        <ns0:v>54</ns0:v>
      </ns0:c>
      <ns0:c r="D4" s="19" t="s">
        <ns0:v>55</ns0:v>
      </ns0:c>
      <ns0:c r="E4" s="20" t="s">
        <ns0:v>56</ns0:v>
      </ns0:c>
      <ns0:c r="F4" s="19" t="s">
        <ns0:v>57</ns0:v>
      </ns0:c>
      <ns0:c r="G4" s="17" t="s">
        <ns0:v>14</ns0:v>
      </ns0:c>
      <ns0:c r="H4" s="17" t="n">
        <ns0:v>229</ns0:v>
      </ns0:c>
      <ns0:c r="I4" s="17"/>
      <ns0:c r="J4" s="19" t="s">
        <ns0:v>15</ns0:v>
      </ns0:c>
      <ns0:c r="K4" s="17" t="s">
        <ns0:v>49</ns0:v>
      </ns0:c>
      <ns0:c r="L4" s="21" t="n">
        <ns0:f aca="false">756+151+340+372</ns0:f>
        <ns0:v>1619</ns0:v>
      </ns0:c>
      <ns0:c r="M4" s="21" t="n">
        <ns0:v>291.42</ns0:v>
      </ns0:c>
      <ns0:c r="N4" s="21" t="n">
        <ns0:v>1910.42</ns0:v>
      </ns0:c>
      <ns0:c r="O4" s="22" t="n">
        <ns0:v>0</ns0:v>
      </ns0:c>
      <ns0:c r="P4" s="23" t="n">
        <ns0:f aca="false">N4-O4</ns0:f>
        <ns0:v>1910.42</ns0:v>
      </ns0:c>
      <ns0:c r="Q4" s="19" t="s">
        <ns0:v>50</ns0:v>
      </ns0:c>
      <ns0:c r="R4" s="19" t="s">
        <ns0:v>51</ns0:v>
      </ns0:c>
      <ns0:c r="S4" s="24"/>
      <ns0:c r="T4" s="25"/>
      <ns0:c r="U4" s="20" t="s">
        <ns0:v>58</ns0:v>
      </ns0:c>
    </ns0:row>
    <ns0:row r="5" customFormat="false" ht="23.25" hidden="false" customHeight="true" outlineLevel="0" collapsed="false">
      <ns0:c r="A5" s="17" t="s">
        <ns0:v>59</ns0:v>
      </ns0:c>
      <ns0:c r="B5" s="18" t="n">
        <ns0:v>45905</ns0:v>
      </ns0:c>
      <ns0:c r="C5" s="19" t="s">
        <ns0:v>60</ns0:v>
      </ns0:c>
      <ns0:c r="D5" s="19" t="s">
        <ns0:v>61</ns0:v>
      </ns0:c>
      <ns0:c r="E5" s="20" t="s">
        <ns0:v>62</ns0:v>
      </ns0:c>
      <ns0:c r="F5" s="19" t="s">
        <ns0:v>63</ns0:v>
      </ns0:c>
      <ns0:c r="G5" s="17" t="s">
        <ns0:v>16</ns0:v>
      </ns0:c>
      <ns0:c r="H5" s="17" t="n">
        <ns0:v>390</ns0:v>
      </ns0:c>
      <ns0:c r="I5" s="17" t="n">
        <ns0:v>400186</ns0:v>
      </ns0:c>
      <ns0:c r="J5" s="19" t="s">
        <ns0:v>15</ns0:v>
      </ns0:c>
      <ns0:c r="K5" s="17" t="s">
        <ns0:v>64</ns0:v>
      </ns0:c>
      <ns0:c r="L5" s="21" t="n">
        <ns0:v>1380</ns0:v>
      </ns0:c>
      <ns0:c r="M5" s="21" t="n">
        <ns0:v>248.4</ns0:v>
      </ns0:c>
      <ns0:c r="N5" s="21" t="n">
        <ns0:v>1628.4</ns0:v>
      </ns0:c>
      <ns0:c r="O5" s="22" t="n">
        <ns0:v>0</ns0:v>
      </ns0:c>
      <ns0:c r="P5" s="23" t="n">
        <ns0:f aca="false">N5-O5</ns0:f>
        <ns0:v>1628.4</ns0:v>
      </ns0:c>
      <ns0:c r="Q5" s="19" t="s">
        <ns0:v>65</ns0:v>
      </ns0:c>
      <ns0:c r="R5" s="19" t="s">
        <ns0:v>38</ns0:v>
      </ns0:c>
      <ns0:c r="S5" s="24"/>
      <ns0:c r="T5" s="25"/>
      <ns0:c r="U5" s="20" t="s">
        <ns0:v>66</ns0:v>
      </ns0:c>
    </ns0:row>
    <ns0:row r="6" customFormat="false" ht="23.25" hidden="false" customHeight="true" outlineLevel="0" collapsed="false">
      <ns0:c r="A6" s="17" t="s">
        <ns0:v>67</ns0:v>
      </ns0:c>
      <ns0:c r="B6" s="18" t="n">
        <ns0:v>45917</ns0:v>
      </ns0:c>
      <ns0:c r="C6" s="19" t="s">
        <ns0:v>68</ns0:v>
      </ns0:c>
      <ns0:c r="D6" s="19" t="s">
        <ns0:v>69</ns0:v>
      </ns0:c>
      <ns0:c r="E6" s="20" t="s">
        <ns0:v>70</ns0:v>
      </ns0:c>
      <ns0:c r="F6" s="19" t="s">
        <ns0:v>71</ns0:v>
      </ns0:c>
      <ns0:c r="G6" s="17" t="s">
        <ns0:v>14</ns0:v>
      </ns0:c>
      <ns0:c r="H6" s="17" t="n">
        <ns0:v>239</ns0:v>
      </ns0:c>
      <ns0:c r="I6" s="17"/>
      <ns0:c r="J6" s="19" t="s">
        <ns0:v>17</ns0:v>
      </ns0:c>
      <ns0:c r="K6" s="17" t="s">
        <ns0:v>49</ns0:v>
      </ns0:c>
      <ns0:c r="L6" s="21" t="n">
        <ns0:v>3770</ns0:v>
      </ns0:c>
      <ns0:c r="M6" s="21" t="n">
        <ns0:v>678.6</ns0:v>
      </ns0:c>
      <ns0:c r="N6" s="21" t="n">
        <ns0:v>4448.6</ns0:v>
      </ns0:c>
      <ns0:c r="O6" s="22" t="n">
        <ns0:v>0</ns0:v>
      </ns0:c>
      <ns0:c r="P6" s="23" t="n">
        <ns0:f aca="false">N6-O6</ns0:f>
        <ns0:v>4448.6</ns0:v>
      </ns0:c>
      <ns0:c r="Q6" s="19" t="s">
        <ns0:v>50</ns0:v>
      </ns0:c>
      <ns0:c r="R6" s="19" t="s">
        <ns0:v>51</ns0:v>
      </ns0:c>
      <ns0:c r="S6" s="24"/>
      <ns0:c r="T6" s="25"/>
      <ns0:c r="U6" s="20" t="s">
        <ns0:v>72</ns0:v>
      </ns0:c>
    </ns0:row>
    <ns0:row r="7" customFormat="false" ht="23.25" hidden="false" customHeight="true" outlineLevel="0" collapsed="false">
      <ns0:c r="A7" s="17" t="s">
        <ns0:v>73</ns0:v>
      </ns0:c>
      <ns0:c r="B7" s="18" t="n">
        <ns0:v>45918</ns0:v>
      </ns0:c>
      <ns0:c r="C7" s="19" t="s">
        <ns0:v>74</ns0:v>
      </ns0:c>
      <ns0:c r="D7" s="19" t="s">
        <ns0:v>75</ns0:v>
      </ns0:c>
      <ns0:c r="E7" s="20" t="s">
        <ns0:v>76</ns0:v>
      </ns0:c>
      <ns0:c r="F7" s="19" t="s">
        <ns0:v>77</ns0:v>
      </ns0:c>
      <ns0:c r="G7" s="17" t="s">
        <ns0:v>18</ns0:v>
      </ns0:c>
      <ns0:c r="H7" s="17"/>
      <ns0:c r="I7" s="17" t="n">
        <ns0:v>1000236</ns0:v>
      </ns0:c>
      <ns0:c r="J7" s="19" t="s">
        <ns0:v>15</ns0:v>
      </ns0:c>
      <ns0:c r="K7" s="17" t="s">
        <ns0:v>64</ns0:v>
      </ns0:c>
      <ns0:c r="L7" s="21" t="n">
        <ns0:v>225</ns0:v>
      </ns0:c>
      <ns0:c r="M7" s="21" t="n">
        <ns0:v>40.5</ns0:v>
      </ns0:c>
      <ns0:c r="N7" s="21" t="n">
        <ns0:v>265.5</ns0:v>
      </ns0:c>
      <ns0:c r="O7" s="22" t="n">
        <ns0:v>0</ns0:v>
      </ns0:c>
      <ns0:c r="P7" s="23" t="n">
        <ns0:f aca="false">N7-O7</ns0:f>
        <ns0:v>265.5</ns0:v>
      </ns0:c>
      <ns0:c r="Q7" s="19" t="s">
        <ns0:v>65</ns0:v>
      </ns0:c>
      <ns0:c r="R7" s="19" t="s">
        <ns0:v>38</ns0:v>
      </ns0:c>
      <ns0:c r="S7" s="24"/>
      <ns0:c r="T7" s="25"/>
      <ns0:c r="U7" s="20" t="s">
        <ns0:v>78</ns0:v>
      </ns0:c>
    </ns0:row>
    <ns0:row r="8" customFormat="false" ht="23.25" hidden="false" customHeight="true" outlineLevel="0" collapsed="false">
      <ns0:c r="A8" s="17" t="s">
        <ns0:v>79</ns0:v>
      </ns0:c>
      <ns0:c r="B8" s="18" t="n">
        <ns0:v>45923</ns0:v>
      </ns0:c>
      <ns0:c r="C8" s="19" t="s">
        <ns0:v>80</ns0:v>
      </ns0:c>
      <ns0:c r="D8" s="19" t="s">
        <ns0:v>81</ns0:v>
      </ns0:c>
      <ns0:c r="E8" s="20" t="s">
        <ns0:v>82</ns0:v>
      </ns0:c>
      <ns0:c r="F8" s="19" t="s">
        <ns0:v>83</ns0:v>
      </ns0:c>
      <ns0:c r="G8" s="17" t="s">
        <ns0:v>18</ns0:v>
      </ns0:c>
      <ns0:c r="H8" s="17"/>
      <ns0:c r="I8" s="17" t="n">
        <ns0:v>1000238</ns0:v>
      </ns0:c>
      <ns0:c r="J8" s="19" t="s">
        <ns0:v>15</ns0:v>
      </ns0:c>
      <ns0:c r="K8" s="17" t="s">
        <ns0:v>64</ns0:v>
      </ns0:c>
      <ns0:c r="L8" s="21" t="n">
        <ns0:v>282</ns0:v>
      </ns0:c>
      <ns0:c r="M8" s="21" t="n">
        <ns0:v>50.76</ns0:v>
      </ns0:c>
      <ns0:c r="N8" s="21" t="n">
        <ns0:v>332.76</ns0:v>
      </ns0:c>
      <ns0:c r="O8" s="22" t="n">
        <ns0:v>0</ns0:v>
      </ns0:c>
      <ns0:c r="P8" s="23" t="n">
        <ns0:f aca="false">N8-O8</ns0:f>
        <ns0:v>332.76</ns0:v>
      </ns0:c>
      <ns0:c r="Q8" s="19" t="s">
        <ns0:v>65</ns0:v>
      </ns0:c>
      <ns0:c r="R8" s="19" t="s">
        <ns0:v>38</ns0:v>
      </ns0:c>
      <ns0:c r="S8" s="24"/>
      <ns0:c r="T8" s="25"/>
      <ns0:c r="U8" s="20" t="s">
        <ns0:v>84</ns0:v>
      </ns0:c>
    </ns0:row>
    <ns0:row r="9" customFormat="false" ht="23.25" hidden="false" customHeight="true" outlineLevel="0" collapsed="false">
      <ns0:c r="A9" s="17" t="s">
        <ns0:v>85</ns0:v>
      </ns0:c>
      <ns0:c r="B9" s="18" t="n">
        <ns0:v>45926</ns0:v>
      </ns0:c>
      <ns0:c r="C9" s="19" t="s">
        <ns0:v>86</ns0:v>
      </ns0:c>
      <ns0:c r="D9" s="19" t="s">
        <ns0:v>87</ns0:v>
      </ns0:c>
      <ns0:c r="E9" s="20" t="s">
        <ns0:v>88</ns0:v>
      </ns0:c>
      <ns0:c r="F9" s="19" t="s">
        <ns0:v>89</ns0:v>
      </ns0:c>
      <ns0:c r="G9" s="17" t="s">
        <ns0:v>20</ns0:v>
      </ns0:c>
      <ns0:c r="H9" s="17" t="n">
        <ns0:v>29</ns0:v>
      </ns0:c>
      <ns0:c r="I9" s="17" t="s">
        <ns0:v>90</ns0:v>
      </ns0:c>
      <ns0:c r="J9" s="19" t="s">
        <ns0:v>17</ns0:v>
      </ns0:c>
      <ns0:c r="K9" s="17" t="s">
        <ns0:v>91</ns0:v>
      </ns0:c>
      <ns0:c r="L9" s="21" t="n">
        <ns0:v>8474.58</ns0:v>
      </ns0:c>
      <ns0:c r="M9" s="21" t="n">
        <ns0:v>1525.42</ns0:v>
      </ns0:c>
      <ns0:c r="N9" s="21" t="n">
        <ns0:v>10000</ns0:v>
      </ns0:c>
      <ns0:c r="O9" s="22" t="n">
        <ns0:v>0</ns0:v>
      </ns0:c>
      <ns0:c r="P9" s="23" t="n">
        <ns0:f aca="false">N9-O9</ns0:f>
        <ns0:v>10000</ns0:v>
      </ns0:c>
      <ns0:c r="Q9" s="19" t="s">
        <ns0:v>92</ns0:v>
      </ns0:c>
      <ns0:c r="R9" s="19" t="s">
        <ns0:v>20</ns0:v>
      </ns0:c>
      <ns0:c r="S9" s="24"/>
      <ns0:c r="T9" s="25"/>
      <ns0:c r="U9" s="20" t="s">
        <ns0:v>93</ns0:v>
      </ns0:c>
    </ns0:row>
    <ns0:row r="10" customFormat="false" ht="15" hidden="false" customHeight="true" outlineLevel="0" collapsed="false">
      <ns0:c r="A10" s="17" t="s">
        <ns0:v>94</ns0:v>
      </ns0:c>
      <ns0:c r="B10" s="18" t="n">
        <ns0:v>45926</ns0:v>
      </ns0:c>
      <ns0:c r="C10" s="19" t="s">
        <ns0:v>86</ns0:v>
      </ns0:c>
      <ns0:c r="D10" s="19" t="s">
        <ns0:v>87</ns0:v>
      </ns0:c>
      <ns0:c r="E10" s="20" t="s">
        <ns0:v>95</ns0:v>
      </ns0:c>
      <ns0:c r="F10" s="19" t="s">
        <ns0:v>89</ns0:v>
      </ns0:c>
      <ns0:c r="G10" s="17" t="s">
        <ns0:v>16</ns0:v>
      </ns0:c>
      <ns0:c r="H10" s="17" t="n">
        <ns0:v>390</ns0:v>
      </ns0:c>
      <ns0:c r="I10" s="17" t="n">
        <ns0:v>400191</ns0:v>
      </ns0:c>
      <ns0:c r="J10" s="19" t="s">
        <ns0:v>17</ns0:v>
      </ns0:c>
      <ns0:c r="K10" s="17" t="s">
        <ns0:v>64</ns0:v>
      </ns0:c>
      <ns0:c r="L10" s="21" t="n">
        <ns0:v>8898.31</ns0:v>
      </ns0:c>
      <ns0:c r="M10" s="21" t="n">
        <ns0:v>1601.7</ns0:v>
      </ns0:c>
      <ns0:c r="N10" s="21" t="n">
        <ns0:v>10500.01</ns0:v>
      </ns0:c>
      <ns0:c r="O10" s="22" t="n">
        <ns0:v>0</ns0:v>
      </ns0:c>
      <ns0:c r="P10" s="23" t="n">
        <ns0:f aca="false">N10-O10</ns0:f>
        <ns0:v>10500.01</ns0:v>
      </ns0:c>
      <ns0:c r="Q10" s="19" t="s">
        <ns0:v>96</ns0:v>
      </ns0:c>
      <ns0:c r="R10" s="19" t="s">
        <ns0:v>38</ns0:v>
      </ns0:c>
      <ns0:c r="S10" s="24"/>
      <ns0:c r="T10" s="25"/>
      <ns0:c r="U10" s="20" t="s">
        <ns0:v>97</ns0:v>
      </ns0:c>
    </ns0:row>
    <ns0:row r="11" customFormat="false" ht="23.25" hidden="false" customHeight="true" outlineLevel="0" collapsed="false">
      <ns0:c r="A11" s="17" t="s">
        <ns0:v>98</ns0:v>
      </ns0:c>
      <ns0:c r="B11" s="18" t="n">
        <ns0:v>45929</ns0:v>
      </ns0:c>
      <ns0:c r="C11" s="19" t="s">
        <ns0:v>99</ns0:v>
      </ns0:c>
      <ns0:c r="D11" s="19" t="s">
        <ns0:v>61</ns0:v>
      </ns0:c>
      <ns0:c r="E11" s="20" t="s">
        <ns0:v>100</ns0:v>
      </ns0:c>
      <ns0:c r="F11" s="19" t="s">
        <ns0:v>101</ns0:v>
      </ns0:c>
      <ns0:c r="G11" s="17" t="s">
        <ns0:v>16</ns0:v>
      </ns0:c>
      <ns0:c r="H11" s="17" t="n">
        <ns0:v>390</ns0:v>
      </ns0:c>
      <ns0:c r="I11" s="17" t="n">
        <ns0:v>400192</ns0:v>
      </ns0:c>
      <ns0:c r="J11" s="19" t="s">
        <ns0:v>15</ns0:v>
      </ns0:c>
      <ns0:c r="K11" s="17" t="s">
        <ns0:v>64</ns0:v>
      </ns0:c>
      <ns0:c r="L11" s="21" t="n">
        <ns0:v>3000</ns0:v>
      </ns0:c>
      <ns0:c r="M11" s="21" t="n">
        <ns0:v>540</ns0:v>
      </ns0:c>
      <ns0:c r="N11" s="21" t="n">
        <ns0:v>3540</ns0:v>
      </ns0:c>
      <ns0:c r="O11" s="22" t="n">
        <ns0:v>0</ns0:v>
      </ns0:c>
      <ns0:c r="P11" s="23" t="n">
        <ns0:f aca="false">N11-O11</ns0:f>
        <ns0:v>3540</ns0:v>
      </ns0:c>
      <ns0:c r="Q11" s="19" t="s">
        <ns0:v>65</ns0:v>
      </ns0:c>
      <ns0:c r="R11" s="19" t="s">
        <ns0:v>38</ns0:v>
      </ns0:c>
      <ns0:c r="S11" s="24"/>
      <ns0:c r="T11" s="25"/>
      <ns0:c r="U11" s="20" t="s">
        <ns0:v>102</ns0:v>
      </ns0:c>
    </ns0:row>
    <ns0:row r="12" customFormat="false" ht="23.25" hidden="false" customHeight="true" outlineLevel="0" collapsed="false">
      <ns0:c r="A12" s="17" t="s">
        <ns0:v>103</ns0:v>
      </ns0:c>
      <ns0:c r="B12" s="18" t="n">
        <ns0:v>45931</ns0:v>
      </ns0:c>
      <ns0:c r="C12" s="19" t="s">
        <ns0:v>104</ns0:v>
      </ns0:c>
      <ns0:c r="D12" s="19" t="s">
        <ns0:v>105</ns0:v>
      </ns0:c>
      <ns0:c r="E12" s="20" t="s">
        <ns0:v>106</ns0:v>
      </ns0:c>
      <ns0:c r="F12" s="19" t="s">
        <ns0:v>107</ns0:v>
      </ns0:c>
      <ns0:c r="G12" s="17" t="s">
        <ns0:v>14</ns0:v>
      </ns0:c>
      <ns0:c r="H12" s="17" t="n">
        <ns0:v>243</ns0:v>
      </ns0:c>
      <ns0:c r="I12" s="17"/>
      <ns0:c r="J12" s="19" t="s">
        <ns0:v>17</ns0:v>
      </ns0:c>
      <ns0:c r="K12" s="17" t="s">
        <ns0:v>49</ns0:v>
      </ns0:c>
      <ns0:c r="L12" s="21" t="n">
        <ns0:v>4330</ns0:v>
      </ns0:c>
      <ns0:c r="M12" s="21" t="n">
        <ns0:v>779.4</ns0:v>
      </ns0:c>
      <ns0:c r="N12" s="21" t="n">
        <ns0:v>5109.4</ns0:v>
      </ns0:c>
      <ns0:c r="O12" s="22" t="n">
        <ns0:v>0</ns0:v>
      </ns0:c>
      <ns0:c r="P12" s="23" t="n">
        <ns0:f aca="false">N12-O12</ns0:f>
        <ns0:v>5109.4</ns0:v>
      </ns0:c>
      <ns0:c r="Q12" s="19" t="s">
        <ns0:v>50</ns0:v>
      </ns0:c>
      <ns0:c r="R12" s="19" t="s">
        <ns0:v>51</ns0:v>
      </ns0:c>
      <ns0:c r="S12" s="24"/>
      <ns0:c r="T12" s="25"/>
      <ns0:c r="U12" s="20" t="s">
        <ns0:v>108</ns0:v>
      </ns0:c>
    </ns0:row>
    <ns0:row r="13" customFormat="false" ht="23.25" hidden="false" customHeight="true" outlineLevel="0" collapsed="false">
      <ns0:c r="A13" s="17" t="s">
        <ns0:v>109</ns0:v>
      </ns0:c>
      <ns0:c r="B13" s="18" t="n">
        <ns0:v>45936</ns0:v>
      </ns0:c>
      <ns0:c r="C13" s="19" t="s">
        <ns0:v>110</ns0:v>
      </ns0:c>
      <ns0:c r="D13" s="19" t="s">
        <ns0:v>111</ns0:v>
      </ns0:c>
      <ns0:c r="E13" s="20" t="s">
        <ns0:v>112</ns0:v>
      </ns0:c>
      <ns0:c r="F13" s="19" t="s">
        <ns0:v>89</ns0:v>
      </ns0:c>
      <ns0:c r="G13" s="17" t="s">
        <ns0:v>16</ns0:v>
      </ns0:c>
      <ns0:c r="H13" s="17" t="n">
        <ns0:v>390</ns0:v>
      </ns0:c>
      <ns0:c r="I13" s="17" t="n">
        <ns0:v>400193</ns0:v>
      </ns0:c>
      <ns0:c r="J13" s="19" t="s">
        <ns0:v>15</ns0:v>
      </ns0:c>
      <ns0:c r="K13" s="17" t="s">
        <ns0:v>64</ns0:v>
      </ns0:c>
      <ns0:c r="L13" s="21" t="n">
        <ns0:v>690</ns0:v>
      </ns0:c>
      <ns0:c r="M13" s="21" t="n">
        <ns0:v>124.2</ns0:v>
      </ns0:c>
      <ns0:c r="N13" s="21" t="n">
        <ns0:v>814.2</ns0:v>
      </ns0:c>
      <ns0:c r="O13" s="22" t="n">
        <ns0:v>0</ns0:v>
      </ns0:c>
      <ns0:c r="P13" s="23" t="n">
        <ns0:f aca="false">N13-O13</ns0:f>
        <ns0:v>814.2</ns0:v>
      </ns0:c>
      <ns0:c r="Q13" s="19" t="s">
        <ns0:v>65</ns0:v>
      </ns0:c>
      <ns0:c r="R13" s="19" t="s">
        <ns0:v>38</ns0:v>
      </ns0:c>
      <ns0:c r="S13" s="24"/>
      <ns0:c r="T13" s="25"/>
      <ns0:c r="U13" s="20" t="s">
        <ns0:v>113</ns0:v>
      </ns0:c>
    </ns0:row>
    <ns0:row r="14" customFormat="false" ht="23.25" hidden="false" customHeight="true" outlineLevel="0" collapsed="false">
      <ns0:c r="A14" s="17" t="s">
        <ns0:v>114</ns0:v>
      </ns0:c>
      <ns0:c r="B14" s="18" t="n">
        <ns0:v>45959</ns0:v>
      </ns0:c>
      <ns0:c r="C14" s="19" t="s">
        <ns0:v>110</ns0:v>
      </ns0:c>
      <ns0:c r="D14" s="19" t="s">
        <ns0:v>115</ns0:v>
      </ns0:c>
      <ns0:c r="E14" s="20" t="s">
        <ns0:v>116</ns0:v>
      </ns0:c>
      <ns0:c r="F14" s="19" t="s">
        <ns0:v>117</ns0:v>
      </ns0:c>
      <ns0:c r="G14" s="17" t="s">
        <ns0:v>14</ns0:v>
      </ns0:c>
      <ns0:c r="H14" s="17" t="n">
        <ns0:v>259</ns0:v>
      </ns0:c>
      <ns0:c r="I14" s="17"/>
      <ns0:c r="J14" s="19" t="s">
        <ns0:v>17</ns0:v>
      </ns0:c>
      <ns0:c r="K14" s="17" t="s">
        <ns0:v>49</ns0:v>
      </ns0:c>
      <ns0:c r="L14" s="21" t="n">
        <ns0:v>480</ns0:v>
      </ns0:c>
      <ns0:c r="M14" s="21" t="n">
        <ns0:v>86.4</ns0:v>
      </ns0:c>
      <ns0:c r="N14" s="21" t="n">
        <ns0:v>566.4</ns0:v>
      </ns0:c>
      <ns0:c r="O14" s="22" t="n">
        <ns0:v>0</ns0:v>
      </ns0:c>
      <ns0:c r="P14" s="23" t="n">
        <ns0:f aca="false">N14-O14</ns0:f>
        <ns0:v>566.4</ns0:v>
      </ns0:c>
      <ns0:c r="Q14" s="19" t="s">
        <ns0:v>50</ns0:v>
      </ns0:c>
      <ns0:c r="R14" s="19" t="s">
        <ns0:v>51</ns0:v>
      </ns0:c>
      <ns0:c r="S14" s="24"/>
      <ns0:c r="T14" s="25"/>
      <ns0:c r="U14" s="20" t="s">
        <ns0:v>118</ns0:v>
      </ns0:c>
    </ns0:row>
    <ns0:row r="15" customFormat="false" ht="23.25" hidden="false" customHeight="true" outlineLevel="0" collapsed="false">
      <ns0:c r="A15" s="17" t="s">
        <ns0:v>119</ns0:v>
      </ns0:c>
      <ns0:c r="B15" s="18" t="n">
        <ns0:v>45959</ns0:v>
      </ns0:c>
      <ns0:c r="C15" s="19" t="s">
        <ns0:v>120</ns0:v>
      </ns0:c>
      <ns0:c r="D15" s="19" t="s">
        <ns0:v>121</ns0:v>
      </ns0:c>
      <ns0:c r="E15" s="20" t="s">
        <ns0:v>122</ns0:v>
      </ns0:c>
      <ns0:c r="F15" s="19" t="s">
        <ns0:v>123</ns0:v>
      </ns0:c>
      <ns0:c r="G15" s="17" t="s">
        <ns0:v>14</ns0:v>
      </ns0:c>
      <ns0:c r="H15" s="17" t="n">
        <ns0:v>258</ns0:v>
      </ns0:c>
      <ns0:c r="I15" s="17"/>
      <ns0:c r="J15" s="19" t="s">
        <ns0:v>17</ns0:v>
      </ns0:c>
      <ns0:c r="K15" s="17" t="s">
        <ns0:v>49</ns0:v>
      </ns0:c>
      <ns0:c r="L15" s="21" t="n">
        <ns0:f aca="false">2170+150</ns0:f>
        <ns0:v>2320</ns0:v>
      </ns0:c>
      <ns0:c r="M15" s="21" t="n">
        <ns0:v>417.6</ns0:v>
      </ns0:c>
      <ns0:c r="N15" s="21" t="n">
        <ns0:v>2737.6</ns0:v>
      </ns0:c>
      <ns0:c r="O15" s="22" t="n">
        <ns0:v>0</ns0:v>
      </ns0:c>
      <ns0:c r="P15" s="23" t="n">
        <ns0:f aca="false">N15-O15</ns0:f>
        <ns0:v>2737.6</ns0:v>
      </ns0:c>
      <ns0:c r="Q15" s="19" t="s">
        <ns0:v>50</ns0:v>
      </ns0:c>
      <ns0:c r="R15" s="19" t="s">
        <ns0:v>51</ns0:v>
      </ns0:c>
      <ns0:c r="S15" s="24"/>
      <ns0:c r="T15" s="25"/>
      <ns0:c r="U15" s="20" t="s">
        <ns0:v>124</ns0:v>
      </ns0:c>
    </ns0:row>
    <ns0:row r="16" customFormat="false" ht="23.25" hidden="false" customHeight="true" outlineLevel="0" collapsed="false">
      <ns0:c r="A16" s="17" t="s">
        <ns0:v>125</ns0:v>
      </ns0:c>
      <ns0:c r="B16" s="18" t="n">
        <ns0:v>45965</ns0:v>
      </ns0:c>
      <ns0:c r="C16" s="19" t="s">
        <ns0:v>86</ns0:v>
      </ns0:c>
      <ns0:c r="D16" s="19" t="s">
        <ns0:v>126</ns0:v>
      </ns0:c>
      <ns0:c r="E16" s="20" t="s">
        <ns0:v>127</ns0:v>
      </ns0:c>
      <ns0:c r="F16" s="19" t="s">
        <ns0:v>89</ns0:v>
      </ns0:c>
      <ns0:c r="G16" s="17" t="s">
        <ns0:v>18</ns0:v>
      </ns0:c>
      <ns0:c r="H16" s="17"/>
      <ns0:c r="I16" s="17" t="n">
        <ns0:v>1000252</ns0:v>
      </ns0:c>
      <ns0:c r="J16" s="19" t="s">
        <ns0:v>17</ns0:v>
      </ns0:c>
      <ns0:c r="K16" s="17" t="s">
        <ns0:v>64</ns0:v>
      </ns0:c>
      <ns0:c r="L16" s="21" t="n">
        <ns0:v>5554</ns0:v>
      </ns0:c>
      <ns0:c r="M16" s="21" t="n">
        <ns0:v>999.72</ns0:v>
      </ns0:c>
      <ns0:c r="N16" s="21" t="n">
        <ns0:v>6553.72</ns0:v>
      </ns0:c>
      <ns0:c r="O16" s="22" t="n">
        <ns0:v>0</ns0:v>
      </ns0:c>
      <ns0:c r="P16" s="23" t="n">
        <ns0:f aca="false">N16-O16</ns0:f>
        <ns0:v>6553.72</ns0:v>
      </ns0:c>
      <ns0:c r="Q16" s="19" t="s">
        <ns0:v>96</ns0:v>
      </ns0:c>
      <ns0:c r="R16" s="19" t="s">
        <ns0:v>38</ns0:v>
      </ns0:c>
      <ns0:c r="S16" s="24"/>
      <ns0:c r="T16" s="25"/>
      <ns0:c r="U16" s="20" t="s">
        <ns0:v>128</ns0:v>
      </ns0:c>
    </ns0:row>
    <ns0:row r="17" customFormat="false" ht="23.25" hidden="false" customHeight="true" outlineLevel="0" collapsed="false">
      <ns0:c r="A17" s="17" t="s">
        <ns0:v>129</ns0:v>
      </ns0:c>
      <ns0:c r="B17" s="18" t="n">
        <ns0:v>45965</ns0:v>
      </ns0:c>
      <ns0:c r="C17" s="19" t="s">
        <ns0:v>130</ns0:v>
      </ns0:c>
      <ns0:c r="D17" s="19" t="s">
        <ns0:v>69</ns0:v>
      </ns0:c>
      <ns0:c r="E17" s="20" t="s">
        <ns0:v>131</ns0:v>
      </ns0:c>
      <ns0:c r="F17" s="19" t="s">
        <ns0:v>132</ns0:v>
      </ns0:c>
      <ns0:c r="G17" s="17" t="s">
        <ns0:v>18</ns0:v>
      </ns0:c>
      <ns0:c r="H17" s="17"/>
      <ns0:c r="I17" s="17" t="n">
        <ns0:v>1000253</ns0:v>
      </ns0:c>
      <ns0:c r="J17" s="19" t="s">
        <ns0:v>15</ns0:v>
      </ns0:c>
      <ns0:c r="K17" s="17" t="s">
        <ns0:v>64</ns0:v>
      </ns0:c>
      <ns0:c r="L17" s="21" t="n">
        <ns0:v>2300</ns0:v>
      </ns0:c>
      <ns0:c r="M17" s="21" t="n">
        <ns0:v>414</ns0:v>
      </ns0:c>
      <ns0:c r="N17" s="21" t="n">
        <ns0:v>2714</ns0:v>
      </ns0:c>
      <ns0:c r="O17" s="22" t="n">
        <ns0:v>0</ns0:v>
      </ns0:c>
      <ns0:c r="P17" s="23" t="n">
        <ns0:f aca="false">N17-O17</ns0:f>
        <ns0:v>2714</ns0:v>
      </ns0:c>
      <ns0:c r="Q17" s="19" t="s">
        <ns0:v>65</ns0:v>
      </ns0:c>
      <ns0:c r="R17" s="19" t="s">
        <ns0:v>38</ns0:v>
      </ns0:c>
      <ns0:c r="S17" s="24"/>
      <ns0:c r="T17" s="25"/>
      <ns0:c r="U17" s="20" t="s">
        <ns0:v>133</ns0:v>
      </ns0:c>
    </ns0:row>
    <ns0:row r="18" customFormat="false" ht="23.25" hidden="false" customHeight="true" outlineLevel="0" collapsed="false">
      <ns0:c r="A18" s="17" t="s">
        <ns0:v>134</ns0:v>
      </ns0:c>
      <ns0:c r="B18" s="18" t="n">
        <ns0:v>45965</ns0:v>
      </ns0:c>
      <ns0:c r="C18" s="19" t="s">
        <ns0:v>104</ns0:v>
      </ns0:c>
      <ns0:c r="D18" s="19" t="s">
        <ns0:v>105</ns0:v>
      </ns0:c>
      <ns0:c r="E18" s="20" t="s">
        <ns0:v>135</ns0:v>
      </ns0:c>
      <ns0:c r="F18" s="19" t="s">
        <ns0:v>136</ns0:v>
      </ns0:c>
      <ns0:c r="G18" s="17" t="s">
        <ns0:v>18</ns0:v>
      </ns0:c>
      <ns0:c r="H18" s="17"/>
      <ns0:c r="I18" s="17" t="n">
        <ns0:v>1000254</ns0:v>
      </ns0:c>
      <ns0:c r="J18" s="19" t="s">
        <ns0:v>17</ns0:v>
      </ns0:c>
      <ns0:c r="K18" s="17" t="s">
        <ns0:v>64</ns0:v>
      </ns0:c>
      <ns0:c r="L18" s="21" t="n">
        <ns0:v>265</ns0:v>
      </ns0:c>
      <ns0:c r="M18" s="21" t="n">
        <ns0:v>47.7</ns0:v>
      </ns0:c>
      <ns0:c r="N18" s="21" t="n">
        <ns0:v>312.7</ns0:v>
      </ns0:c>
      <ns0:c r="O18" s="22" t="n">
        <ns0:v>0</ns0:v>
      </ns0:c>
      <ns0:c r="P18" s="23" t="n">
        <ns0:f aca="false">N18-O18</ns0:f>
        <ns0:v>312.7</ns0:v>
      </ns0:c>
      <ns0:c r="Q18" s="19" t="s">
        <ns0:v>96</ns0:v>
      </ns0:c>
      <ns0:c r="R18" s="19" t="s">
        <ns0:v>38</ns0:v>
      </ns0:c>
      <ns0:c r="S18" s="24"/>
      <ns0:c r="T18" s="25"/>
      <ns0:c r="U18" s="20" t="s">
        <ns0:v>137</ns0:v>
      </ns0:c>
    </ns0:row>
    <ns0:row r="19" customFormat="false" ht="15" hidden="false" customHeight="true" outlineLevel="0" collapsed="false">
      <ns0:c r="A19" s="17" t="s">
        <ns0:v>138</ns0:v>
      </ns0:c>
      <ns0:c r="B19" s="18" t="n">
        <ns0:v>45966</ns0:v>
      </ns0:c>
      <ns0:c r="C19" s="19" t="s">
        <ns0:v>139</ns0:v>
      </ns0:c>
      <ns0:c r="D19" s="19" t="s">
        <ns0:v>140</ns0:v>
      </ns0:c>
      <ns0:c r="E19" s="20" t="s">
        <ns0:v>141</ns0:v>
      </ns0:c>
      <ns0:c r="F19" s="19" t="s">
        <ns0:v>142</ns0:v>
      </ns0:c>
      <ns0:c r="G19" s="17" t="s">
        <ns0:v>18</ns0:v>
      </ns0:c>
      <ns0:c r="H19" s="17"/>
      <ns0:c r="I19" s="17" t="n">
        <ns0:v>1000255</ns0:v>
      </ns0:c>
      <ns0:c r="J19" s="19" t="s">
        <ns0:v>15</ns0:v>
      </ns0:c>
      <ns0:c r="K19" s="17" t="s">
        <ns0:v>64</ns0:v>
      </ns0:c>
      <ns0:c r="L19" s="21" t="n">
        <ns0:v>1485</ns0:v>
      </ns0:c>
      <ns0:c r="M19" s="21" t="n">
        <ns0:v>267.3</ns0:v>
      </ns0:c>
      <ns0:c r="N19" s="21" t="n">
        <ns0:v>1752.3</ns0:v>
      </ns0:c>
      <ns0:c r="O19" s="22" t="n">
        <ns0:v>0</ns0:v>
      </ns0:c>
      <ns0:c r="P19" s="23" t="n">
        <ns0:f aca="false">N19-O19</ns0:f>
        <ns0:v>1752.3</ns0:v>
      </ns0:c>
      <ns0:c r="Q19" s="19" t="s">
        <ns0:v>65</ns0:v>
      </ns0:c>
      <ns0:c r="R19" s="19" t="s">
        <ns0:v>38</ns0:v>
      </ns0:c>
      <ns0:c r="S19" s="24"/>
      <ns0:c r="T19" s="25"/>
      <ns0:c r="U19" s="20" t="s">
        <ns0:v>143</ns0:v>
      </ns0:c>
    </ns0:row>
    <ns0:row r="20" customFormat="false" ht="23.25" hidden="false" customHeight="true" outlineLevel="0" collapsed="false">
      <ns0:c r="A20" s="17" t="s">
        <ns0:v>144</ns0:v>
      </ns0:c>
      <ns0:c r="B20" s="18" t="n">
        <ns0:v>45966</ns0:v>
      </ns0:c>
      <ns0:c r="C20" s="19" t="s">
        <ns0:v>110</ns0:v>
      </ns0:c>
      <ns0:c r="D20" s="19" t="s">
        <ns0:v>145</ns0:v>
      </ns0:c>
      <ns0:c r="E20" s="20" t="s">
        <ns0:v>146</ns0:v>
      </ns0:c>
      <ns0:c r="F20" s="19" t="s">
        <ns0:v>147</ns0:v>
      </ns0:c>
      <ns0:c r="G20" s="17" t="s">
        <ns0:v>16</ns0:v>
      </ns0:c>
      <ns0:c r="H20" s="17" t="n">
        <ns0:v>390</ns0:v>
      </ns0:c>
      <ns0:c r="I20" s="17" t="n">
        <ns0:v>400195</ns0:v>
      </ns0:c>
      <ns0:c r="J20" s="19" t="s">
        <ns0:v>19</ns0:v>
      </ns0:c>
      <ns0:c r="K20" s="17" t="s">
        <ns0:v>64</ns0:v>
      </ns0:c>
      <ns0:c r="L20" s="21" t="n">
        <ns0:v>800</ns0:v>
      </ns0:c>
      <ns0:c r="M20" s="21" t="n">
        <ns0:v>144</ns0:v>
      </ns0:c>
      <ns0:c r="N20" s="21" t="n">
        <ns0:v>944</ns0:v>
      </ns0:c>
      <ns0:c r="O20" s="22" t="n">
        <ns0:v>0</ns0:v>
      </ns0:c>
      <ns0:c r="P20" s="23" t="n">
        <ns0:f aca="false">N20-O20</ns0:f>
        <ns0:v>944</ns0:v>
      </ns0:c>
      <ns0:c r="Q20" s="19" t="s">
        <ns0:v>92</ns0:v>
      </ns0:c>
      <ns0:c r="R20" s="19" t="s">
        <ns0:v>38</ns0:v>
      </ns0:c>
      <ns0:c r="S20" s="24"/>
      <ns0:c r="T20" s="25"/>
      <ns0:c r="U20" s="20" t="s">
        <ns0:v>148</ns0:v>
      </ns0:c>
    </ns0:row>
    <ns0:row r="21" customFormat="false" ht="23.25" hidden="false" customHeight="true" outlineLevel="0" collapsed="false">
      <ns0:c r="A21" s="17" t="s">
        <ns0:v>149</ns0:v>
      </ns0:c>
      <ns0:c r="B21" s="18" t="n">
        <ns0:v>45967</ns0:v>
      </ns0:c>
      <ns0:c r="C21" s="19" t="s">
        <ns0:v>150</ns0:v>
      </ns0:c>
      <ns0:c r="D21" s="19" t="s">
        <ns0:v>151</ns0:v>
      </ns0:c>
      <ns0:c r="E21" s="20" t="s">
        <ns0:v>152</ns0:v>
      </ns0:c>
      <ns0:c r="F21" s="19" t="s">
        <ns0:v>153</ns0:v>
      </ns0:c>
      <ns0:c r="G21" s="17" t="s">
        <ns0:v>18</ns0:v>
      </ns0:c>
      <ns0:c r="H21" s="17"/>
      <ns0:c r="I21" s="17" t="n">
        <ns0:v>1000256</ns0:v>
      </ns0:c>
      <ns0:c r="J21" s="19" t="s">
        <ns0:v>15</ns0:v>
      </ns0:c>
      <ns0:c r="K21" s="17" t="s">
        <ns0:v>64</ns0:v>
      </ns0:c>
      <ns0:c r="L21" s="21" t="n">
        <ns0:v>370</ns0:v>
      </ns0:c>
      <ns0:c r="M21" s="21" t="n">
        <ns0:v>66.6</ns0:v>
      </ns0:c>
      <ns0:c r="N21" s="21" t="n">
        <ns0:v>436.6</ns0:v>
      </ns0:c>
      <ns0:c r="O21" s="22" t="n">
        <ns0:v>0</ns0:v>
      </ns0:c>
      <ns0:c r="P21" s="23" t="n">
        <ns0:f aca="false">N21-O21</ns0:f>
        <ns0:v>436.6</ns0:v>
      </ns0:c>
      <ns0:c r="Q21" s="19" t="s">
        <ns0:v>65</ns0:v>
      </ns0:c>
      <ns0:c r="R21" s="19" t="s">
        <ns0:v>38</ns0:v>
      </ns0:c>
      <ns0:c r="S21" s="24"/>
      <ns0:c r="T21" s="25"/>
      <ns0:c r="U21" s="20" t="s">
        <ns0:v>154</ns0:v>
      </ns0:c>
    </ns0:row>
    <ns0:row r="22" customFormat="false" ht="68.25" hidden="false" customHeight="true" outlineLevel="0" collapsed="false">
      <ns0:c r="A22" s="17" t="s">
        <ns0:v>155</ns0:v>
      </ns0:c>
      <ns0:c r="B22" s="18" t="n">
        <ns0:v>45975</ns0:v>
      </ns0:c>
      <ns0:c r="C22" s="19" t="s">
        <ns0:v>156</ns0:v>
      </ns0:c>
      <ns0:c r="D22" s="19" t="s">
        <ns0:v>157</ns0:v>
      </ns0:c>
      <ns0:c r="E22" s="20" t="s">
        <ns0:v>158</ns0:v>
      </ns0:c>
      <ns0:c r="F22" s="19" t="s">
        <ns0:v>159</ns0:v>
      </ns0:c>
      <ns0:c r="G22" s="17" t="s">
        <ns0:v>18</ns0:v>
      </ns0:c>
      <ns0:c r="H22" s="17" t="n">
        <ns0:v>227</ns0:v>
      </ns0:c>
      <ns0:c r="I22" s="17" t="n">
        <ns0:v>1000258</ns0:v>
      </ns0:c>
      <ns0:c r="J22" s="19" t="s">
        <ns0:v>17</ns0:v>
      </ns0:c>
      <ns0:c r="K22" s="17" t="s">
        <ns0:v>64</ns0:v>
      </ns0:c>
      <ns0:c r="L22" s="21" t="n">
        <ns0:v>7020</ns0:v>
      </ns0:c>
      <ns0:c r="M22" s="21" t="n">
        <ns0:v>1263.6</ns0:v>
      </ns0:c>
      <ns0:c r="N22" s="21" t="n">
        <ns0:v>8283.6</ns0:v>
      </ns0:c>
      <ns0:c r="O22" s="22" t="n">
        <ns0:v>0</ns0:v>
      </ns0:c>
      <ns0:c r="P22" s="23" t="n">
        <ns0:f aca="false">N22-O22</ns0:f>
        <ns0:v>8283.6</ns0:v>
      </ns0:c>
      <ns0:c r="Q22" s="19" t="s">
        <ns0:v>96</ns0:v>
      </ns0:c>
      <ns0:c r="R22" s="19" t="s">
        <ns0:v>38</ns0:v>
      </ns0:c>
      <ns0:c r="S22" s="24"/>
      <ns0:c r="T22" s="25"/>
      <ns0:c r="U22" s="20" t="s">
        <ns0:v>160</ns0:v>
      </ns0:c>
    </ns0:row>
    <ns0:row r="23" customFormat="false" ht="15" hidden="false" customHeight="true" outlineLevel="0" collapsed="false">
      <ns0:c r="A23" s="17" t="s">
        <ns0:v>161</ns0:v>
      </ns0:c>
      <ns0:c r="B23" s="18" t="n">
        <ns0:v>45973</ns0:v>
      </ns0:c>
      <ns0:c r="C23" s="19" t="s">
        <ns0:v>162</ns0:v>
      </ns0:c>
      <ns0:c r="D23" s="19" t="s">
        <ns0:v>163</ns0:v>
      </ns0:c>
      <ns0:c r="E23" s="20" t="s">
        <ns0:v>164</ns0:v>
      </ns0:c>
      <ns0:c r="F23" s="19" t="s">
        <ns0:v>165</ns0:v>
      </ns0:c>
      <ns0:c r="G23" s="17" t="s">
        <ns0:v>18</ns0:v>
      </ns0:c>
      <ns0:c r="H23" s="17"/>
      <ns0:c r="I23" s="17" t="n">
        <ns0:v>1000257</ns0:v>
      </ns0:c>
      <ns0:c r="J23" s="19" t="s">
        <ns0:v>15</ns0:v>
      </ns0:c>
      <ns0:c r="K23" s="17" t="s">
        <ns0:v>64</ns0:v>
      </ns0:c>
      <ns0:c r="L23" s="21" t="n">
        <ns0:v>384</ns0:v>
      </ns0:c>
      <ns0:c r="M23" s="21" t="n">
        <ns0:v>69.12</ns0:v>
      </ns0:c>
      <ns0:c r="N23" s="21" t="n">
        <ns0:v>453.12</ns0:v>
      </ns0:c>
      <ns0:c r="O23" s="22" t="n">
        <ns0:v>0</ns0:v>
      </ns0:c>
      <ns0:c r="P23" s="23" t="n">
        <ns0:f aca="false">N23-O23</ns0:f>
        <ns0:v>453.12</ns0:v>
      </ns0:c>
      <ns0:c r="Q23" s="19" t="s">
        <ns0:v>65</ns0:v>
      </ns0:c>
      <ns0:c r="R23" s="19" t="s">
        <ns0:v>38</ns0:v>
      </ns0:c>
      <ns0:c r="S23" s="24"/>
      <ns0:c r="T23" s="25"/>
      <ns0:c r="U23" s="20" t="s">
        <ns0:v>166</ns0:v>
      </ns0:c>
    </ns0:row>
    <ns0:row r="24" customFormat="false" ht="34.5" hidden="false" customHeight="true" outlineLevel="0" collapsed="false">
      <ns0:c r="A24" s="17" t="s">
        <ns0:v>167</ns0:v>
      </ns0:c>
      <ns0:c r="B24" s="18" t="n">
        <ns0:v>45976</ns0:v>
      </ns0:c>
      <ns0:c r="C24" s="19" t="s">
        <ns0:v>168</ns0:v>
      </ns0:c>
      <ns0:c r="D24" s="19" t="s">
        <ns0:v>69</ns0:v>
      </ns0:c>
      <ns0:c r="E24" s="20" t="s">
        <ns0:v>169</ns0:v>
      </ns0:c>
      <ns0:c r="F24" s="19" t="s">
        <ns0:v>170</ns0:v>
      </ns0:c>
      <ns0:c r="G24" s="17" t="s">
        <ns0:v>14</ns0:v>
      </ns0:c>
      <ns0:c r="H24" s="17" t="n">
        <ns0:v>264</ns0:v>
      </ns0:c>
      <ns0:c r="I24" s="17"/>
      <ns0:c r="J24" s="19" t="s">
        <ns0:v>15</ns0:v>
      </ns0:c>
      <ns0:c r="K24" s="17" t="s">
        <ns0:v>49</ns0:v>
      </ns0:c>
      <ns0:c r="L24" s="21" t="n">
        <ns0:v>3400</ns0:v>
      </ns0:c>
      <ns0:c r="M24" s="21" t="n">
        <ns0:v>612</ns0:v>
      </ns0:c>
      <ns0:c r="N24" s="21" t="n">
        <ns0:v>4012</ns0:v>
      </ns0:c>
      <ns0:c r="O24" s="22" t="n">
        <ns0:v>0</ns0:v>
      </ns0:c>
      <ns0:c r="P24" s="23" t="n">
        <ns0:f aca="false">N24-O24</ns0:f>
        <ns0:v>4012</ns0:v>
      </ns0:c>
      <ns0:c r="Q24" s="19" t="s">
        <ns0:v>50</ns0:v>
      </ns0:c>
      <ns0:c r="R24" s="19" t="s">
        <ns0:v>51</ns0:v>
      </ns0:c>
      <ns0:c r="S24" s="24"/>
      <ns0:c r="T24" s="25"/>
      <ns0:c r="U24" s="20" t="s">
        <ns0:v>171</ns0:v>
      </ns0:c>
    </ns0:row>
    <ns0:row r="25" customFormat="false" ht="34.5" hidden="false" customHeight="true" outlineLevel="0" collapsed="false">
      <ns0:c r="A25" s="17" t="s">
        <ns0:v>172</ns0:v>
      </ns0:c>
      <ns0:c r="B25" s="18" t="n">
        <ns0:v>45976</ns0:v>
      </ns0:c>
      <ns0:c r="C25" s="19" t="s">
        <ns0:v>168</ns0:v>
      </ns0:c>
      <ns0:c r="D25" s="19" t="s">
        <ns0:v>69</ns0:v>
      </ns0:c>
      <ns0:c r="E25" s="20" t="s">
        <ns0:v>173</ns0:v>
      </ns0:c>
      <ns0:c r="F25" s="19" t="s">
        <ns0:v>174</ns0:v>
      </ns0:c>
      <ns0:c r="G25" s="17" t="s">
        <ns0:v>14</ns0:v>
      </ns0:c>
      <ns0:c r="H25" s="17" t="n">
        <ns0:v>265</ns0:v>
      </ns0:c>
      <ns0:c r="I25" s="17"/>
      <ns0:c r="J25" s="19" t="s">
        <ns0:v>15</ns0:v>
      </ns0:c>
      <ns0:c r="K25" s="17" t="s">
        <ns0:v>49</ns0:v>
      </ns0:c>
      <ns0:c r="L25" s="21" t="n">
        <ns0:v>3025</ns0:v>
      </ns0:c>
      <ns0:c r="M25" s="21" t="n">
        <ns0:v>544.5</ns0:v>
      </ns0:c>
      <ns0:c r="N25" s="21" t="n">
        <ns0:v>3569.5</ns0:v>
      </ns0:c>
      <ns0:c r="O25" s="22" t="n">
        <ns0:v>0</ns0:v>
      </ns0:c>
      <ns0:c r="P25" s="23" t="n">
        <ns0:f aca="false">N25-O25</ns0:f>
        <ns0:v>3569.5</ns0:v>
      </ns0:c>
      <ns0:c r="Q25" s="19" t="s">
        <ns0:v>50</ns0:v>
      </ns0:c>
      <ns0:c r="R25" s="19" t="s">
        <ns0:v>51</ns0:v>
      </ns0:c>
      <ns0:c r="S25" s="24"/>
      <ns0:c r="T25" s="25"/>
      <ns0:c r="U25" s="20" t="s">
        <ns0:v>175</ns0:v>
      </ns0:c>
    </ns0:row>
    <ns0:row r="26" customFormat="false" ht="45.75" hidden="false" customHeight="true" outlineLevel="0" collapsed="false">
      <ns0:c r="A26" s="17" t="s">
        <ns0:v>176</ns0:v>
      </ns0:c>
      <ns0:c r="B26" s="18" t="n">
        <ns0:v>45978</ns0:v>
      </ns0:c>
      <ns0:c r="C26" s="19" t="s">
        <ns0:v>177</ns0:v>
      </ns0:c>
      <ns0:c r="D26" s="19" t="s">
        <ns0:v>69</ns0:v>
      </ns0:c>
      <ns0:c r="E26" s="20" t="s">
        <ns0:v>178</ns0:v>
      </ns0:c>
      <ns0:c r="F26" s="19" t="s">
        <ns0:v>179</ns0:v>
      </ns0:c>
      <ns0:c r="G26" s="17" t="s">
        <ns0:v>16</ns0:v>
      </ns0:c>
      <ns0:c r="H26" s="17"/>
      <ns0:c r="I26" s="17" t="n">
        <ns0:v>5000140</ns0:v>
      </ns0:c>
      <ns0:c r="J26" s="19" t="s">
        <ns0:v>19</ns0:v>
      </ns0:c>
      <ns0:c r="K26" s="17" t="s">
        <ns0:v>64</ns0:v>
      </ns0:c>
      <ns0:c r="L26" s="21" t="n">
        <ns0:v>1500</ns0:v>
      </ns0:c>
      <ns0:c r="M26" s="21" t="n">
        <ns0:v>270</ns0:v>
      </ns0:c>
      <ns0:c r="N26" s="21" t="n">
        <ns0:v>1770</ns0:v>
      </ns0:c>
      <ns0:c r="O26" s="22" t="n">
        <ns0:v>0</ns0:v>
      </ns0:c>
      <ns0:c r="P26" s="23" t="n">
        <ns0:f aca="false">N26-O26</ns0:f>
        <ns0:v>1770</ns0:v>
      </ns0:c>
      <ns0:c r="Q26" s="19" t="s">
        <ns0:v>96</ns0:v>
      </ns0:c>
      <ns0:c r="R26" s="19" t="s">
        <ns0:v>38</ns0:v>
      </ns0:c>
      <ns0:c r="S26" s="24"/>
      <ns0:c r="T26" s="25"/>
      <ns0:c r="U26" s="20" t="s">
        <ns0:v>180</ns0:v>
      </ns0:c>
    </ns0:row>
    <ns0:row r="27" customFormat="false" ht="34.5" hidden="false" customHeight="true" outlineLevel="0" collapsed="false">
      <ns0:c r="A27" s="17" t="s">
        <ns0:v>181</ns0:v>
      </ns0:c>
      <ns0:c r="B27" s="18" t="n">
        <ns0:v>45978</ns0:v>
      </ns0:c>
      <ns0:c r="C27" s="19" t="s">
        <ns0:v>177</ns0:v>
      </ns0:c>
      <ns0:c r="D27" s="19" t="s">
        <ns0:v>69</ns0:v>
      </ns0:c>
      <ns0:c r="E27" s="20" t="s">
        <ns0:v>182</ns0:v>
      </ns0:c>
      <ns0:c r="F27" s="19" t="s">
        <ns0:v>183</ns0:v>
      </ns0:c>
      <ns0:c r="G27" s="17" t="s">
        <ns0:v>16</ns0:v>
      </ns0:c>
      <ns0:c r="H27" s="17"/>
      <ns0:c r="I27" s="17" t="n">
        <ns0:v>5000141</ns0:v>
      </ns0:c>
      <ns0:c r="J27" s="19" t="s">
        <ns0:v>19</ns0:v>
      </ns0:c>
      <ns0:c r="K27" s="17" t="s">
        <ns0:v>64</ns0:v>
      </ns0:c>
      <ns0:c r="L27" s="21" t="n">
        <ns0:v>450</ns0:v>
      </ns0:c>
      <ns0:c r="M27" s="21" t="n">
        <ns0:v>81</ns0:v>
      </ns0:c>
      <ns0:c r="N27" s="21" t="n">
        <ns0:v>531</ns0:v>
      </ns0:c>
      <ns0:c r="O27" s="22" t="n">
        <ns0:v>0</ns0:v>
      </ns0:c>
      <ns0:c r="P27" s="23" t="n">
        <ns0:f aca="false">N27-O27</ns0:f>
        <ns0:v>531</ns0:v>
      </ns0:c>
      <ns0:c r="Q27" s="19" t="s">
        <ns0:v>96</ns0:v>
      </ns0:c>
      <ns0:c r="R27" s="19" t="s">
        <ns0:v>38</ns0:v>
      </ns0:c>
      <ns0:c r="S27" s="24"/>
      <ns0:c r="T27" s="25"/>
      <ns0:c r="U27" s="20" t="s">
        <ns0:v>184</ns0:v>
      </ns0:c>
    </ns0:row>
    <ns0:row r="28" customFormat="false" ht="23.25" hidden="false" customHeight="true" outlineLevel="0" collapsed="false">
      <ns0:c r="A28" s="17" t="s">
        <ns0:v>185</ns0:v>
      </ns0:c>
      <ns0:c r="B28" s="18" t="n">
        <ns0:v>45979</ns0:v>
      </ns0:c>
      <ns0:c r="C28" s="19" t="s">
        <ns0:v>186</ns0:v>
      </ns0:c>
      <ns0:c r="D28" s="19" t="s">
        <ns0:v>187</ns0:v>
      </ns0:c>
      <ns0:c r="E28" s="20" t="s">
        <ns0:v>188</ns0:v>
      </ns0:c>
      <ns0:c r="F28" s="19" t="s">
        <ns0:v>189</ns0:v>
      </ns0:c>
      <ns0:c r="G28" s="17" t="s">
        <ns0:v>18</ns0:v>
      </ns0:c>
      <ns0:c r="H28" s="17"/>
      <ns0:c r="I28" s="17" t="n">
        <ns0:v>1000259</ns0:v>
      </ns0:c>
      <ns0:c r="J28" s="19" t="s">
        <ns0:v>15</ns0:v>
      </ns0:c>
      <ns0:c r="K28" s="17" t="s">
        <ns0:v>64</ns0:v>
      </ns0:c>
      <ns0:c r="L28" s="21" t="n">
        <ns0:v>847.5</ns0:v>
      </ns0:c>
      <ns0:c r="M28" s="21" t="n">
        <ns0:v>152.55</ns0:v>
      </ns0:c>
      <ns0:c r="N28" s="21" t="n">
        <ns0:v>1000.05</ns0:v>
      </ns0:c>
      <ns0:c r="O28" s="22" t="n">
        <ns0:v>0</ns0:v>
      </ns0:c>
      <ns0:c r="P28" s="23" t="n">
        <ns0:f aca="false">N28-O28</ns0:f>
        <ns0:v>1000.05</ns0:v>
      </ns0:c>
      <ns0:c r="Q28" s="19" t="s">
        <ns0:v>65</ns0:v>
      </ns0:c>
      <ns0:c r="R28" s="19" t="s">
        <ns0:v>38</ns0:v>
      </ns0:c>
      <ns0:c r="S28" s="24"/>
      <ns0:c r="T28" s="25"/>
      <ns0:c r="U28" s="20" t="s">
        <ns0:v>190</ns0:v>
      </ns0:c>
    </ns0:row>
    <ns0:row r="29" customFormat="false" ht="57" hidden="false" customHeight="true" outlineLevel="0" collapsed="false">
      <ns0:c r="A29" s="17" t="s">
        <ns0:v>191</ns0:v>
      </ns0:c>
      <ns0:c r="B29" s="18" t="n">
        <ns0:v>45989</ns0:v>
      </ns0:c>
      <ns0:c r="C29" s="19" t="s">
        <ns0:v>99</ns0:v>
      </ns0:c>
      <ns0:c r="D29" s="19" t="s">
        <ns0:v>61</ns0:v>
      </ns0:c>
      <ns0:c r="E29" s="20" t="s">
        <ns0:v>192</ns0:v>
      </ns0:c>
      <ns0:c r="F29" s="19" t="s">
        <ns0:v>193</ns0:v>
      </ns0:c>
      <ns0:c r="G29" s="17" t="s">
        <ns0:v>16</ns0:v>
      </ns0:c>
      <ns0:c r="H29" s="17" t="n">
        <ns0:v>263</ns0:v>
      </ns0:c>
      <ns0:c r="I29" s="17" t="n">
        <ns0:v>400198</ns0:v>
      </ns0:c>
      <ns0:c r="J29" s="19" t="s">
        <ns0:v>15</ns0:v>
      </ns0:c>
      <ns0:c r="K29" s="17" t="s">
        <ns0:v>64</ns0:v>
      </ns0:c>
      <ns0:c r="L29" s="21" t="n">
        <ns0:v>2700</ns0:v>
      </ns0:c>
      <ns0:c r="M29" s="21" t="n">
        <ns0:v>486</ns0:v>
      </ns0:c>
      <ns0:c r="N29" s="21" t="n">
        <ns0:v>3186</ns0:v>
      </ns0:c>
      <ns0:c r="O29" s="22" t="n">
        <ns0:v>0</ns0:v>
      </ns0:c>
      <ns0:c r="P29" s="23" t="n">
        <ns0:f aca="false">N29-O29</ns0:f>
        <ns0:v>3186</ns0:v>
      </ns0:c>
      <ns0:c r="Q29" s="19" t="s">
        <ns0:v>65</ns0:v>
      </ns0:c>
      <ns0:c r="R29" s="19" t="s">
        <ns0:v>38</ns0:v>
      </ns0:c>
      <ns0:c r="S29" s="24"/>
      <ns0:c r="T29" s="25"/>
      <ns0:c r="U29" s="20" t="s">
        <ns0:v>194</ns0:v>
      </ns0:c>
    </ns0:row>
    <ns0:row r="30" customFormat="false" ht="23.25" hidden="false" customHeight="true" outlineLevel="0" collapsed="false">
      <ns0:c r="A30" s="17" t="s">
        <ns0:v>195</ns0:v>
      </ns0:c>
      <ns0:c r="B30" s="18" t="n">
        <ns0:v>45992</ns0:v>
      </ns0:c>
      <ns0:c r="C30" s="19" t="s">
        <ns0:v>104</ns0:v>
      </ns0:c>
      <ns0:c r="D30" s="19" t="s">
        <ns0:v>196</ns0:v>
      </ns0:c>
      <ns0:c r="E30" s="20" t="s">
        <ns0:v>197</ns0:v>
      </ns0:c>
      <ns0:c r="F30" s="19" t="s">
        <ns0:v>89</ns0:v>
      </ns0:c>
      <ns0:c r="G30" s="17" t="s">
        <ns0:v>14</ns0:v>
      </ns0:c>
      <ns0:c r="H30" s="17" t="n">
        <ns0:v>267</ns0:v>
      </ns0:c>
      <ns0:c r="I30" s="17"/>
      <ns0:c r="J30" s="19" t="s">
        <ns0:v>17</ns0:v>
      </ns0:c>
      <ns0:c r="K30" s="17" t="s">
        <ns0:v>49</ns0:v>
      </ns0:c>
      <ns0:c r="L30" s="21" t="n">
        <ns0:v>3780</ns0:v>
      </ns0:c>
      <ns0:c r="M30" s="21" t="n">
        <ns0:v>680.4</ns0:v>
      </ns0:c>
      <ns0:c r="N30" s="21" t="n">
        <ns0:v>4460.4</ns0:v>
      </ns0:c>
      <ns0:c r="O30" s="22" t="n">
        <ns0:v>0</ns0:v>
      </ns0:c>
      <ns0:c r="P30" s="23" t="n">
        <ns0:f aca="false">N30-O30</ns0:f>
        <ns0:v>4460.4</ns0:v>
      </ns0:c>
      <ns0:c r="Q30" s="19" t="s">
        <ns0:v>50</ns0:v>
      </ns0:c>
      <ns0:c r="R30" s="19" t="s">
        <ns0:v>51</ns0:v>
      </ns0:c>
      <ns0:c r="S30" s="24"/>
      <ns0:c r="T30" s="25"/>
      <ns0:c r="U30" s="20" t="s">
        <ns0:v>198</ns0:v>
      </ns0:c>
    </ns0:row>
    <ns0:row r="31" customFormat="false" ht="34.5" hidden="false" customHeight="true" outlineLevel="0" collapsed="false">
      <ns0:c r="A31" s="17" t="s">
        <ns0:v>199</ns0:v>
      </ns0:c>
      <ns0:c r="B31" s="18" t="n">
        <ns0:v>46007</ns0:v>
      </ns0:c>
      <ns0:c r="C31" s="19" t="s">
        <ns0:v>200</ns0:v>
      </ns0:c>
      <ns0:c r="D31" s="19" t="s">
        <ns0:v>201</ns0:v>
      </ns0:c>
      <ns0:c r="E31" s="20" t="s">
        <ns0:v>202</ns0:v>
      </ns0:c>
      <ns0:c r="F31" s="19" t="s">
        <ns0:v>203</ns0:v>
      </ns0:c>
      <ns0:c r="G31" s="17" t="s">
        <ns0:v>16</ns0:v>
      </ns0:c>
      <ns0:c r="H31" s="17" t="n">
        <ns0:v>268</ns0:v>
      </ns0:c>
      <ns0:c r="I31" s="17" t="n">
        <ns0:v>400205</ns0:v>
      </ns0:c>
      <ns0:c r="J31" s="19" t="s">
        <ns0:v>15</ns0:v>
      </ns0:c>
      <ns0:c r="K31" s="17" t="s">
        <ns0:v>64</ns0:v>
      </ns0:c>
      <ns0:c r="L31" s="21" t="n">
        <ns0:v>415</ns0:v>
      </ns0:c>
      <ns0:c r="M31" s="21" t="n">
        <ns0:v>74.7</ns0:v>
      </ns0:c>
      <ns0:c r="N31" s="21" t="n">
        <ns0:v>489.7</ns0:v>
      </ns0:c>
      <ns0:c r="O31" s="22" t="n">
        <ns0:v>0</ns0:v>
      </ns0:c>
      <ns0:c r="P31" s="23" t="n">
        <ns0:f aca="false">N31-O31</ns0:f>
        <ns0:v>489.7</ns0:v>
      </ns0:c>
      <ns0:c r="Q31" s="19" t="s">
        <ns0:v>65</ns0:v>
      </ns0:c>
      <ns0:c r="R31" s="19" t="s">
        <ns0:v>38</ns0:v>
      </ns0:c>
      <ns0:c r="S31" s="24"/>
      <ns0:c r="T31" s="25"/>
      <ns0:c r="U31" s="20" t="s">
        <ns0:v>204</ns0:v>
      </ns0:c>
    </ns0:row>
    <ns0:row r="32" customFormat="false" ht="34.5" hidden="false" customHeight="true" outlineLevel="0" collapsed="false">
      <ns0:c r="A32" s="26" t="s">
        <ns0:v>205</ns0:v>
      </ns0:c>
      <ns0:c r="B32" s="27" t="n">
        <ns0:v>46067</ns0:v>
      </ns0:c>
      <ns0:c r="C32" s="28" t="s">
        <ns0:v>60</ns0:v>
      </ns0:c>
      <ns0:c r="D32" s="28" t="s">
        <ns0:v>206</ns0:v>
      </ns0:c>
      <ns0:c r="E32" s="29" t="s">
        <ns0:v>207</ns0:v>
      </ns0:c>
      <ns0:c r="F32" s="28" t="s">
        <ns0:v>208</ns0:v>
      </ns0:c>
      <ns0:c r="G32" s="26" t="s">
        <ns0:v>18</ns0:v>
      </ns0:c>
      <ns0:c r="H32" s="26" t="n">
        <ns0:v>272</ns0:v>
      </ns0:c>
      <ns0:c r="I32" s="26" t="n">
        <ns0:v>1000294</ns0:v>
      </ns0:c>
      <ns0:c r="J32" s="28" t="s">
        <ns0:v>17</ns0:v>
      </ns0:c>
      <ns0:c r="K32" s="26" t="s">
        <ns0:v>64</ns0:v>
      </ns0:c>
      <ns0:c r="L32" s="30" t="n">
        <ns0:v>8030.55</ns0:v>
      </ns0:c>
      <ns0:c r="M32" s="30" t="n">
        <ns0:v>1445.5</ns0:v>
      </ns0:c>
      <ns0:c r="N32" s="30" t="n">
        <ns0:v>9476.05</ns0:v>
      </ns0:c>
      <ns0:c r="O32" s="31" t="n">
        <ns0:v>4245.17</ns0:v>
      </ns0:c>
      <ns0:c r="P32" s="32" t="n">
        <ns0:f aca="false">N32-O32</ns0:f>
        <ns0:v>5230.88</ns0:v>
      </ns0:c>
      <ns0:c r="Q32" s="28" t="s">
        <ns0:v>96</ns0:v>
      </ns0:c>
      <ns0:c r="R32" s="28" t="s">
        <ns0:v>209</ns0:v>
      </ns0:c>
      <ns0:c r="S32" s="33"/>
      <ns0:c r="T32" s="34"/>
      <ns0:c r="U32" s="29" t="s">
        <ns0:v>210</ns0:v>
      </ns0:c>
    </ns0:row>
    <ns0:row r="33" customFormat="false" ht="34.5" hidden="false" customHeight="true" outlineLevel="0" collapsed="false">
      <ns0:c r="A33" s="17" t="s">
        <ns0:v>211</ns0:v>
      </ns0:c>
      <ns0:c r="B33" s="18" t="n">
        <ns0:v>45996</ns0:v>
      </ns0:c>
      <ns0:c r="C33" s="19" t="s">
        <ns0:v>212</ns0:v>
      </ns0:c>
      <ns0:c r="D33" s="19" t="s">
        <ns0:v>213</ns0:v>
      </ns0:c>
      <ns0:c r="E33" s="20" t="s">
        <ns0:v>214</ns0:v>
      </ns0:c>
      <ns0:c r="F33" s="19" t="s">
        <ns0:v>215</ns0:v>
      </ns0:c>
      <ns0:c r="G33" s="17" t="s">
        <ns0:v>14</ns0:v>
      </ns0:c>
      <ns0:c r="H33" s="17" t="n">
        <ns0:v>271</ns0:v>
      </ns0:c>
      <ns0:c r="I33" s="17"/>
      <ns0:c r="J33" s="19" t="s">
        <ns0:v>17</ns0:v>
      </ns0:c>
      <ns0:c r="K33" s="17" t="s">
        <ns0:v>49</ns0:v>
      </ns0:c>
      <ns0:c r="L33" s="21" t="n">
        <ns0:v>6935.8</ns0:v>
      </ns0:c>
      <ns0:c r="M33" s="21" t="n">
        <ns0:v>1248.44</ns0:v>
      </ns0:c>
      <ns0:c r="N33" s="21" t="n">
        <ns0:v>8184.24</ns0:v>
      </ns0:c>
      <ns0:c r="O33" s="22" t="n">
        <ns0:v>0</ns0:v>
      </ns0:c>
      <ns0:c r="P33" s="23" t="n">
        <ns0:f aca="false">N33-O33</ns0:f>
        <ns0:v>8184.24</ns0:v>
      </ns0:c>
      <ns0:c r="Q33" s="19" t="s">
        <ns0:v>50</ns0:v>
      </ns0:c>
      <ns0:c r="R33" s="19" t="s">
        <ns0:v>51</ns0:v>
      </ns0:c>
      <ns0:c r="S33" s="24"/>
      <ns0:c r="T33" s="25"/>
      <ns0:c r="U33" s="20" t="s">
        <ns0:v>216</ns0:v>
      </ns0:c>
    </ns0:row>
    <ns0:row r="34" customFormat="false" ht="34.5" hidden="false" customHeight="true" outlineLevel="0" collapsed="false">
      <ns0:c r="A34" s="26" t="s">
        <ns0:v>217</ns0:v>
      </ns0:c>
      <ns0:c r="B34" s="27" t="n">
        <ns0:v>46067</ns0:v>
      </ns0:c>
      <ns0:c r="C34" s="28" t="s">
        <ns0:v>60</ns0:v>
      </ns0:c>
      <ns0:c r="D34" s="28" t="s">
        <ns0:v>111</ns0:v>
      </ns0:c>
      <ns0:c r="E34" s="29" t="s">
        <ns0:v>218</ns0:v>
      </ns0:c>
      <ns0:c r="F34" s="28" t="s">
        <ns0:v>208</ns0:v>
      </ns0:c>
      <ns0:c r="G34" s="26" t="s">
        <ns0:v>18</ns0:v>
      </ns0:c>
      <ns0:c r="H34" s="26" t="n">
        <ns0:v>273</ns0:v>
      </ns0:c>
      <ns0:c r="I34" s="26" t="n">
        <ns0:v>1000295</ns0:v>
      </ns0:c>
      <ns0:c r="J34" s="28" t="s">
        <ns0:v>17</ns0:v>
      </ns0:c>
      <ns0:c r="K34" s="26" t="s">
        <ns0:v>64</ns0:v>
      </ns0:c>
      <ns0:c r="L34" s="30" t="n">
        <ns0:v>6231.5</ns0:v>
      </ns0:c>
      <ns0:c r="M34" s="30" t="n">
        <ns0:v>1121.67</ns0:v>
      </ns0:c>
      <ns0:c r="N34" s="30" t="n">
        <ns0:v>7353.17</ns0:v>
      </ns0:c>
      <ns0:c r="O34" s="31" t="n">
        <ns0:v>3364.7</ns0:v>
      </ns0:c>
      <ns0:c r="P34" s="32" t="n">
        <ns0:f aca="false">N34-O34</ns0:f>
        <ns0:v>3988.47</ns0:v>
      </ns0:c>
      <ns0:c r="Q34" s="28" t="s">
        <ns0:v>96</ns0:v>
      </ns0:c>
      <ns0:c r="R34" s="28" t="s">
        <ns0:v>209</ns0:v>
      </ns0:c>
      <ns0:c r="S34" s="33"/>
      <ns0:c r="T34" s="34"/>
      <ns0:c r="U34" s="29" t="s">
        <ns0:v>219</ns0:v>
      </ns0:c>
    </ns0:row>
    <ns0:row r="35" customFormat="false" ht="34.5" hidden="false" customHeight="true" outlineLevel="0" collapsed="false">
      <ns0:c r="A35" s="17" t="s">
        <ns0:v>220</ns0:v>
      </ns0:c>
      <ns0:c r="B35" s="18" t="n">
        <ns0:v>45999</ns0:v>
      </ns0:c>
      <ns0:c r="C35" s="19" t="s">
        <ns0:v>212</ns0:v>
      </ns0:c>
      <ns0:c r="D35" s="19" t="s">
        <ns0:v>221</ns0:v>
      </ns0:c>
      <ns0:c r="E35" s="20" t="s">
        <ns0:v>222</ns0:v>
      </ns0:c>
      <ns0:c r="F35" s="19" t="s">
        <ns0:v>223</ns0:v>
      </ns0:c>
      <ns0:c r="G35" s="17" t="s">
        <ns0:v>14</ns0:v>
      </ns0:c>
      <ns0:c r="H35" s="17" t="n">
        <ns0:v>274</ns0:v>
      </ns0:c>
      <ns0:c r="I35" s="17"/>
      <ns0:c r="J35" s="19" t="s">
        <ns0:v>17</ns0:v>
      </ns0:c>
      <ns0:c r="K35" s="17" t="s">
        <ns0:v>49</ns0:v>
      </ns0:c>
      <ns0:c r="L35" s="21" t="n">
        <ns0:v>1088</ns0:v>
      </ns0:c>
      <ns0:c r="M35" s="21" t="n">
        <ns0:v>195.84</ns0:v>
      </ns0:c>
      <ns0:c r="N35" s="21" t="n">
        <ns0:v>1283.84</ns0:v>
      </ns0:c>
      <ns0:c r="O35" s="22" t="n">
        <ns0:v>0</ns0:v>
      </ns0:c>
      <ns0:c r="P35" s="23" t="n">
        <ns0:f aca="false">N35-O35</ns0:f>
        <ns0:v>1283.84</ns0:v>
      </ns0:c>
      <ns0:c r="Q35" s="19" t="s">
        <ns0:v>50</ns0:v>
      </ns0:c>
      <ns0:c r="R35" s="19" t="s">
        <ns0:v>51</ns0:v>
      </ns0:c>
      <ns0:c r="S35" s="24"/>
      <ns0:c r="T35" s="25"/>
      <ns0:c r="U35" s="20" t="s">
        <ns0:v>224</ns0:v>
      </ns0:c>
    </ns0:row>
    <ns0:row r="36" customFormat="false" ht="15" hidden="false" customHeight="true" outlineLevel="0" collapsed="false">
      <ns0:c r="A36" s="17" t="s">
        <ns0:v>225</ns0:v>
      </ns0:c>
      <ns0:c r="B36" s="18" t="n">
        <ns0:v>45999</ns0:v>
      </ns0:c>
      <ns0:c r="C36" s="19" t="s">
        <ns0:v>226</ns0:v>
      </ns0:c>
      <ns0:c r="D36" s="19" t="s">
        <ns0:v>206</ns0:v>
      </ns0:c>
      <ns0:c r="E36" s="20" t="s">
        <ns0:v>227</ns0:v>
      </ns0:c>
      <ns0:c r="F36" s="19" t="s">
        <ns0:v>228</ns0:v>
      </ns0:c>
      <ns0:c r="G36" s="17" t="s">
        <ns0:v>18</ns0:v>
      </ns0:c>
      <ns0:c r="H36" s="17"/>
      <ns0:c r="I36" s="17" t="n">
        <ns0:v>1000265</ns0:v>
      </ns0:c>
      <ns0:c r="J36" s="19" t="s">
        <ns0:v>17</ns0:v>
      </ns0:c>
      <ns0:c r="K36" s="17" t="s">
        <ns0:v>64</ns0:v>
      </ns0:c>
      <ns0:c r="L36" s="21" t="n">
        <ns0:v>1003.33</ns0:v>
      </ns0:c>
      <ns0:c r="M36" s="21" t="n">
        <ns0:v>180.6</ns0:v>
      </ns0:c>
      <ns0:c r="N36" s="21" t="n">
        <ns0:v>1183.93</ns0:v>
      </ns0:c>
      <ns0:c r="O36" s="22" t="n">
        <ns0:v>0</ns0:v>
      </ns0:c>
      <ns0:c r="P36" s="23" t="n">
        <ns0:f aca="false">N36-O36</ns0:f>
        <ns0:v>1183.93</ns0:v>
      </ns0:c>
      <ns0:c r="Q36" s="19" t="s">
        <ns0:v>96</ns0:v>
      </ns0:c>
      <ns0:c r="R36" s="19" t="s">
        <ns0:v>38</ns0:v>
      </ns0:c>
      <ns0:c r="S36" s="24"/>
      <ns0:c r="T36" s="25"/>
      <ns0:c r="U36" s="20" t="s">
        <ns0:v>229</ns0:v>
      </ns0:c>
    </ns0:row>
    <ns0:row r="37" customFormat="false" ht="34.5" hidden="false" customHeight="true" outlineLevel="0" collapsed="false">
      <ns0:c r="A37" s="17" t="s">
        <ns0:v>230</ns0:v>
      </ns0:c>
      <ns0:c r="B37" s="18" t="n">
        <ns0:v>45999</ns0:v>
      </ns0:c>
      <ns0:c r="C37" s="19" t="s">
        <ns0:v>231</ns0:v>
      </ns0:c>
      <ns0:c r="D37" s="19" t="s">
        <ns0:v>206</ns0:v>
      </ns0:c>
      <ns0:c r="E37" s="20" t="s">
        <ns0:v>227</ns0:v>
      </ns0:c>
      <ns0:c r="F37" s="19" t="s">
        <ns0:v>228</ns0:v>
      </ns0:c>
      <ns0:c r="G37" s="17" t="s">
        <ns0:v>18</ns0:v>
      </ns0:c>
      <ns0:c r="H37" s="17"/>
      <ns0:c r="I37" s="17" t="n">
        <ns0:v>1000266</ns0:v>
      </ns0:c>
      <ns0:c r="J37" s="19" t="s">
        <ns0:v>17</ns0:v>
      </ns0:c>
      <ns0:c r="K37" s="17" t="s">
        <ns0:v>64</ns0:v>
      </ns0:c>
      <ns0:c r="L37" s="21" t="n">
        <ns0:v>2006.67</ns0:v>
      </ns0:c>
      <ns0:c r="M37" s="21" t="n">
        <ns0:v>361.2</ns0:v>
      </ns0:c>
      <ns0:c r="N37" s="21" t="n">
        <ns0:v>2367.87</ns0:v>
      </ns0:c>
      <ns0:c r="O37" s="22" t="n">
        <ns0:v>0</ns0:v>
      </ns0:c>
      <ns0:c r="P37" s="23" t="n">
        <ns0:f aca="false">N37-O37</ns0:f>
        <ns0:v>2367.87</ns0:v>
      </ns0:c>
      <ns0:c r="Q37" s="19" t="s">
        <ns0:v>96</ns0:v>
      </ns0:c>
      <ns0:c r="R37" s="19" t="s">
        <ns0:v>38</ns0:v>
      </ns0:c>
      <ns0:c r="S37" s="24"/>
      <ns0:c r="T37" s="25"/>
      <ns0:c r="U37" s="20" t="s">
        <ns0:v>232</ns0:v>
      </ns0:c>
    </ns0:row>
    <ns0:row r="38" customFormat="false" ht="34.5" hidden="false" customHeight="true" outlineLevel="0" collapsed="false">
      <ns0:c r="A38" s="17" t="s">
        <ns0:v>233</ns0:v>
      </ns0:c>
      <ns0:c r="B38" s="18" t="n">
        <ns0:v>46000</ns0:v>
      </ns0:c>
      <ns0:c r="C38" s="19" t="s">
        <ns0:v>110</ns0:v>
      </ns0:c>
      <ns0:c r="D38" s="19" t="s">
        <ns0:v>234</ns0:v>
      </ns0:c>
      <ns0:c r="E38" s="20" t="s">
        <ns0:v>235</ns0:v>
      </ns0:c>
      <ns0:c r="F38" s="19" t="s">
        <ns0:v>236</ns0:v>
      </ns0:c>
      <ns0:c r="G38" s="17" t="s">
        <ns0:v>16</ns0:v>
      </ns0:c>
      <ns0:c r="H38" s="17"/>
      <ns0:c r="I38" s="17" t="n">
        <ns0:v>400200</ns0:v>
      </ns0:c>
      <ns0:c r="J38" s="19" t="s">
        <ns0:v>17</ns0:v>
      </ns0:c>
      <ns0:c r="K38" s="17" t="s">
        <ns0:v>64</ns0:v>
      </ns0:c>
      <ns0:c r="L38" s="21" t="n">
        <ns0:v>941</ns0:v>
      </ns0:c>
      <ns0:c r="M38" s="21" t="n">
        <ns0:v>169.38</ns0:v>
      </ns0:c>
      <ns0:c r="N38" s="21" t="n">
        <ns0:v>1110.38</ns0:v>
      </ns0:c>
      <ns0:c r="O38" s="22" t="n">
        <ns0:v>0</ns0:v>
      </ns0:c>
      <ns0:c r="P38" s="23" t="n">
        <ns0:f aca="false">N38-O38</ns0:f>
        <ns0:v>1110.38</ns0:v>
      </ns0:c>
      <ns0:c r="Q38" s="19" t="s">
        <ns0:v>92</ns0:v>
      </ns0:c>
      <ns0:c r="R38" s="19" t="s">
        <ns0:v>38</ns0:v>
      </ns0:c>
      <ns0:c r="S38" s="24"/>
      <ns0:c r="T38" s="25"/>
      <ns0:c r="U38" s="20" t="s">
        <ns0:v>237</ns0:v>
      </ns0:c>
    </ns0:row>
    <ns0:row r="39" customFormat="false" ht="34.5" hidden="false" customHeight="true" outlineLevel="0" collapsed="false">
      <ns0:c r="A39" s="17" t="s">
        <ns0:v>238</ns0:v>
      </ns0:c>
      <ns0:c r="B39" s="18" t="n">
        <ns0:v>46000</ns0:v>
      </ns0:c>
      <ns0:c r="C39" s="19" t="s">
        <ns0:v>110</ns0:v>
      </ns0:c>
      <ns0:c r="D39" s="19" t="s">
        <ns0:v>239</ns0:v>
      </ns0:c>
      <ns0:c r="E39" s="20" t="s">
        <ns0:v>240</ns0:v>
      </ns0:c>
      <ns0:c r="F39" s="19" t="s">
        <ns0:v>236</ns0:v>
      </ns0:c>
      <ns0:c r="G39" s="17" t="s">
        <ns0:v>16</ns0:v>
      </ns0:c>
      <ns0:c r="H39" s="17"/>
      <ns0:c r="I39" s="17" t="n">
        <ns0:v>400201</ns0:v>
      </ns0:c>
      <ns0:c r="J39" s="19" t="s">
        <ns0:v>17</ns0:v>
      </ns0:c>
      <ns0:c r="K39" s="17" t="s">
        <ns0:v>64</ns0:v>
      </ns0:c>
      <ns0:c r="L39" s="21" t="n">
        <ns0:v>928</ns0:v>
      </ns0:c>
      <ns0:c r="M39" s="21" t="n">
        <ns0:v>167.04</ns0:v>
      </ns0:c>
      <ns0:c r="N39" s="21" t="n">
        <ns0:v>1095.04</ns0:v>
      </ns0:c>
      <ns0:c r="O39" s="22" t="n">
        <ns0:v>0</ns0:v>
      </ns0:c>
      <ns0:c r="P39" s="23" t="n">
        <ns0:f aca="false">N39-O39</ns0:f>
        <ns0:v>1095.04</ns0:v>
      </ns0:c>
      <ns0:c r="Q39" s="19" t="s">
        <ns0:v>92</ns0:v>
      </ns0:c>
      <ns0:c r="R39" s="19" t="s">
        <ns0:v>38</ns0:v>
      </ns0:c>
      <ns0:c r="S39" s="24"/>
      <ns0:c r="T39" s="25"/>
      <ns0:c r="U39" s="20" t="s">
        <ns0:v>241</ns0:v>
      </ns0:c>
    </ns0:row>
    <ns0:row r="40" customFormat="false" ht="23.25" hidden="false" customHeight="true" outlineLevel="0" collapsed="false">
      <ns0:c r="A40" s="17" t="s">
        <ns0:v>242</ns0:v>
      </ns0:c>
      <ns0:c r="B40" s="18" t="n">
        <ns0:v>45961</ns0:v>
      </ns0:c>
      <ns0:c r="C40" s="19" t="s">
        <ns0:v>110</ns0:v>
      </ns0:c>
      <ns0:c r="D40" s="19" t="s">
        <ns0:v>243</ns0:v>
      </ns0:c>
      <ns0:c r="E40" s="20" t="s">
        <ns0:v>244</ns0:v>
      </ns0:c>
      <ns0:c r="F40" s="19" t="s">
        <ns0:v>89</ns0:v>
      </ns0:c>
      <ns0:c r="G40" s="17" t="s">
        <ns0:v>16</ns0:v>
      </ns0:c>
      <ns0:c r="H40" s="17"/>
      <ns0:c r="I40" s="17" t="n">
        <ns0:v>400212</ns0:v>
      </ns0:c>
      <ns0:c r="J40" s="19" t="s">
        <ns0:v>15</ns0:v>
      </ns0:c>
      <ns0:c r="K40" s="17" t="s">
        <ns0:v>64</ns0:v>
      </ns0:c>
      <ns0:c r="L40" s="21" t="n">
        <ns0:v>845</ns0:v>
      </ns0:c>
      <ns0:c r="M40" s="21" t="n">
        <ns0:v>152.1</ns0:v>
      </ns0:c>
      <ns0:c r="N40" s="21" t="n">
        <ns0:v>997.1</ns0:v>
      </ns0:c>
      <ns0:c r="O40" s="22" t="n">
        <ns0:v>0</ns0:v>
      </ns0:c>
      <ns0:c r="P40" s="23" t="n">
        <ns0:f aca="false">N40-O40</ns0:f>
        <ns0:v>997.1</ns0:v>
      </ns0:c>
      <ns0:c r="Q40" s="19" t="s">
        <ns0:v>65</ns0:v>
      </ns0:c>
      <ns0:c r="R40" s="19" t="s">
        <ns0:v>38</ns0:v>
      </ns0:c>
      <ns0:c r="S40" s="24"/>
      <ns0:c r="T40" s="25"/>
      <ns0:c r="U40" s="20" t="s">
        <ns0:v>245</ns0:v>
      </ns0:c>
    </ns0:row>
    <ns0:row r="41" customFormat="false" ht="23.25" hidden="false" customHeight="true" outlineLevel="0" collapsed="false">
      <ns0:c r="A41" s="17" t="s">
        <ns0:v>246</ns0:v>
      </ns0:c>
      <ns0:c r="B41" s="18" t="n">
        <ns0:v>45995</ns0:v>
      </ns0:c>
      <ns0:c r="C41" s="19" t="s">
        <ns0:v>110</ns0:v>
      </ns0:c>
      <ns0:c r="D41" s="19" t="s">
        <ns0:v>247</ns0:v>
      </ns0:c>
      <ns0:c r="E41" s="20" t="s">
        <ns0:v>248</ns0:v>
      </ns0:c>
      <ns0:c r="F41" s="19" t="s">
        <ns0:v>249</ns0:v>
      </ns0:c>
      <ns0:c r="G41" s="17" t="s">
        <ns0:v>16</ns0:v>
      </ns0:c>
      <ns0:c r="H41" s="17"/>
      <ns0:c r="I41" s="17" t="n">
        <ns0:v>400210</ns0:v>
      </ns0:c>
      <ns0:c r="J41" s="19" t="s">
        <ns0:v>15</ns0:v>
      </ns0:c>
      <ns0:c r="K41" s="17" t="s">
        <ns0:v>64</ns0:v>
      </ns0:c>
      <ns0:c r="L41" s="21" t="n">
        <ns0:v>1162.35</ns0:v>
      </ns0:c>
      <ns0:c r="M41" s="21" t="n">
        <ns0:v>209.22</ns0:v>
      </ns0:c>
      <ns0:c r="N41" s="21" t="n">
        <ns0:v>1371.57</ns0:v>
      </ns0:c>
      <ns0:c r="O41" s="22" t="n">
        <ns0:v>0</ns0:v>
      </ns0:c>
      <ns0:c r="P41" s="23" t="n">
        <ns0:f aca="false">N41-O41</ns0:f>
        <ns0:v>1371.57</ns0:v>
      </ns0:c>
      <ns0:c r="Q41" s="19" t="s">
        <ns0:v>92</ns0:v>
      </ns0:c>
      <ns0:c r="R41" s="19" t="s">
        <ns0:v>38</ns0:v>
      </ns0:c>
      <ns0:c r="S41" s="24"/>
      <ns0:c r="T41" s="25"/>
      <ns0:c r="U41" s="20" t="s">
        <ns0:v>250</ns0:v>
      </ns0:c>
    </ns0:row>
    <ns0:row r="42" customFormat="false" ht="23.25" hidden="false" customHeight="true" outlineLevel="0" collapsed="false">
      <ns0:c r="A42" s="17" t="s">
        <ns0:v>251</ns0:v>
      </ns0:c>
      <ns0:c r="B42" s="18" t="n">
        <ns0:v>45995</ns0:v>
      </ns0:c>
      <ns0:c r="C42" s="19" t="s">
        <ns0:v>110</ns0:v>
      </ns0:c>
      <ns0:c r="D42" s="19" t="s">
        <ns0:v>61</ns0:v>
      </ns0:c>
      <ns0:c r="E42" s="20" t="s">
        <ns0:v>252</ns0:v>
      </ns0:c>
      <ns0:c r="F42" s="19" t="s">
        <ns0:v>249</ns0:v>
      </ns0:c>
      <ns0:c r="G42" s="17" t="s">
        <ns0:v>16</ns0:v>
      </ns0:c>
      <ns0:c r="H42" s="17"/>
      <ns0:c r="I42" s="17" t="n">
        <ns0:v>400211</ns0:v>
      </ns0:c>
      <ns0:c r="J42" s="19" t="s">
        <ns0:v>15</ns0:v>
      </ns0:c>
      <ns0:c r="K42" s="17" t="s">
        <ns0:v>64</ns0:v>
      </ns0:c>
      <ns0:c r="L42" s="21" t="n">
        <ns0:v>1975</ns0:v>
      </ns0:c>
      <ns0:c r="M42" s="21" t="n">
        <ns0:v>355.5</ns0:v>
      </ns0:c>
      <ns0:c r="N42" s="21" t="n">
        <ns0:v>2330.5</ns0:v>
      </ns0:c>
      <ns0:c r="O42" s="22" t="n">
        <ns0:v>0</ns0:v>
      </ns0:c>
      <ns0:c r="P42" s="23" t="n">
        <ns0:f aca="false">N42-O42</ns0:f>
        <ns0:v>2330.5</ns0:v>
      </ns0:c>
      <ns0:c r="Q42" s="19" t="s">
        <ns0:v>92</ns0:v>
      </ns0:c>
      <ns0:c r="R42" s="19" t="s">
        <ns0:v>38</ns0:v>
      </ns0:c>
      <ns0:c r="S42" s="24"/>
      <ns0:c r="T42" s="25"/>
      <ns0:c r="U42" s="20" t="s">
        <ns0:v>253</ns0:v>
      </ns0:c>
    </ns0:row>
    <ns0:row r="43" customFormat="false" ht="23.25" hidden="false" customHeight="true" outlineLevel="0" collapsed="false">
      <ns0:c r="A43" s="17" t="s">
        <ns0:v>254</ns0:v>
      </ns0:c>
      <ns0:c r="B43" s="18" t="n">
        <ns0:v>46000</ns0:v>
      </ns0:c>
      <ns0:c r="C43" s="19" t="s">
        <ns0:v>110</ns0:v>
      </ns0:c>
      <ns0:c r="D43" s="19" t="s">
        <ns0:v>255</ns0:v>
      </ns0:c>
      <ns0:c r="E43" s="20" t="s">
        <ns0:v>256</ns0:v>
      </ns0:c>
      <ns0:c r="F43" s="19" t="s">
        <ns0:v>89</ns0:v>
      </ns0:c>
      <ns0:c r="G43" s="17" t="s">
        <ns0:v>16</ns0:v>
      </ns0:c>
      <ns0:c r="H43" s="17"/>
      <ns0:c r="I43" s="17" t="n">
        <ns0:v>400202</ns0:v>
      </ns0:c>
      <ns0:c r="J43" s="19" t="s">
        <ns0:v>17</ns0:v>
      </ns0:c>
      <ns0:c r="K43" s="17" t="s">
        <ns0:v>64</ns0:v>
      </ns0:c>
      <ns0:c r="L43" s="21" t="n">
        <ns0:v>1510</ns0:v>
      </ns0:c>
      <ns0:c r="M43" s="21" t="n">
        <ns0:v>271.8</ns0:v>
      </ns0:c>
      <ns0:c r="N43" s="21" t="n">
        <ns0:v>1781.8</ns0:v>
      </ns0:c>
      <ns0:c r="O43" s="22" t="n">
        <ns0:v>0</ns0:v>
      </ns0:c>
      <ns0:c r="P43" s="23" t="n">
        <ns0:f aca="false">N43-O43</ns0:f>
        <ns0:v>1781.8</ns0:v>
      </ns0:c>
      <ns0:c r="Q43" s="19" t="s">
        <ns0:v>92</ns0:v>
      </ns0:c>
      <ns0:c r="R43" s="19" t="s">
        <ns0:v>38</ns0:v>
      </ns0:c>
      <ns0:c r="S43" s="24"/>
      <ns0:c r="T43" s="25"/>
      <ns0:c r="U43" s="20" t="s">
        <ns0:v>257</ns0:v>
      </ns0:c>
    </ns0:row>
    <ns0:row r="44" customFormat="false" ht="23.25" hidden="false" customHeight="true" outlineLevel="0" collapsed="false">
      <ns0:c r="A44" s="17" t="s">
        <ns0:v>258</ns0:v>
      </ns0:c>
      <ns0:c r="B44" s="18" t="n">
        <ns0:v>46000</ns0:v>
      </ns0:c>
      <ns0:c r="C44" s="19" t="s">
        <ns0:v>110</ns0:v>
      </ns0:c>
      <ns0:c r="D44" s="19" t="s">
        <ns0:v>259</ns0:v>
      </ns0:c>
      <ns0:c r="E44" s="20" t="s">
        <ns0:v>260</ns0:v>
      </ns0:c>
      <ns0:c r="F44" s="19" t="s">
        <ns0:v>228</ns0:v>
      </ns0:c>
      <ns0:c r="G44" s="17" t="s">
        <ns0:v>16</ns0:v>
      </ns0:c>
      <ns0:c r="H44" s="17"/>
      <ns0:c r="I44" s="17" t="n">
        <ns0:v>400203</ns0:v>
      </ns0:c>
      <ns0:c r="J44" s="19" t="s">
        <ns0:v>17</ns0:v>
      </ns0:c>
      <ns0:c r="K44" s="17" t="s">
        <ns0:v>64</ns0:v>
      </ns0:c>
      <ns0:c r="L44" s="21" t="n">
        <ns0:v>1475</ns0:v>
      </ns0:c>
      <ns0:c r="M44" s="21" t="n">
        <ns0:v>265.5</ns0:v>
      </ns0:c>
      <ns0:c r="N44" s="21" t="n">
        <ns0:v>1740.5</ns0:v>
      </ns0:c>
      <ns0:c r="O44" s="22" t="n">
        <ns0:v>0</ns0:v>
      </ns0:c>
      <ns0:c r="P44" s="23" t="n">
        <ns0:f aca="false">N44-O44</ns0:f>
        <ns0:v>1740.5</ns0:v>
      </ns0:c>
      <ns0:c r="Q44" s="19" t="s">
        <ns0:v>92</ns0:v>
      </ns0:c>
      <ns0:c r="R44" s="19" t="s">
        <ns0:v>38</ns0:v>
      </ns0:c>
      <ns0:c r="S44" s="24"/>
      <ns0:c r="T44" s="25"/>
      <ns0:c r="U44" s="20" t="s">
        <ns0:v>261</ns0:v>
      </ns0:c>
    </ns0:row>
    <ns0:row r="45" customFormat="false" ht="23.25" hidden="false" customHeight="true" outlineLevel="0" collapsed="false">
      <ns0:c r="A45" s="17" t="s">
        <ns0:v>262</ns0:v>
      </ns0:c>
      <ns0:c r="B45" s="18" t="n">
        <ns0:v>46000</ns0:v>
      </ns0:c>
      <ns0:c r="C45" s="19" t="s">
        <ns0:v>110</ns0:v>
      </ns0:c>
      <ns0:c r="D45" s="19" t="s">
        <ns0:v>263</ns0:v>
      </ns0:c>
      <ns0:c r="E45" s="20" t="s">
        <ns0:v>264</ns0:v>
      </ns0:c>
      <ns0:c r="F45" s="19" t="s">
        <ns0:v>236</ns0:v>
      </ns0:c>
      <ns0:c r="G45" s="17" t="s">
        <ns0:v>16</ns0:v>
      </ns0:c>
      <ns0:c r="H45" s="17"/>
      <ns0:c r="I45" s="17" t="n">
        <ns0:v>400204</ns0:v>
      </ns0:c>
      <ns0:c r="J45" s="19" t="s">
        <ns0:v>17</ns0:v>
      </ns0:c>
      <ns0:c r="K45" s="17" t="s">
        <ns0:v>64</ns0:v>
      </ns0:c>
      <ns0:c r="L45" s="21" t="n">
        <ns0:v>962</ns0:v>
      </ns0:c>
      <ns0:c r="M45" s="21" t="n">
        <ns0:v>173.16</ns0:v>
      </ns0:c>
      <ns0:c r="N45" s="21" t="n">
        <ns0:v>1135.16</ns0:v>
      </ns0:c>
      <ns0:c r="O45" s="22" t="n">
        <ns0:v>0</ns0:v>
      </ns0:c>
      <ns0:c r="P45" s="23" t="n">
        <ns0:f aca="false">N45-O45</ns0:f>
        <ns0:v>1135.16</ns0:v>
      </ns0:c>
      <ns0:c r="Q45" s="19" t="s">
        <ns0:v>92</ns0:v>
      </ns0:c>
      <ns0:c r="R45" s="19" t="s">
        <ns0:v>38</ns0:v>
      </ns0:c>
      <ns0:c r="S45" s="24"/>
      <ns0:c r="T45" s="25"/>
      <ns0:c r="U45" s="20" t="s">
        <ns0:v>265</ns0:v>
      </ns0:c>
    </ns0:row>
    <ns0:row r="46" customFormat="false" ht="34.5" hidden="false" customHeight="true" outlineLevel="0" collapsed="false">
      <ns0:c r="A46" s="17" t="s">
        <ns0:v>266</ns0:v>
      </ns0:c>
      <ns0:c r="B46" s="18" t="n">
        <ns0:v>46004</ns0:v>
      </ns0:c>
      <ns0:c r="C46" s="19" t="s">
        <ns0:v>212</ns0:v>
      </ns0:c>
      <ns0:c r="D46" s="19" t="s">
        <ns0:v>267</ns0:v>
      </ns0:c>
      <ns0:c r="E46" s="20" t="s">
        <ns0:v>268</ns0:v>
      </ns0:c>
      <ns0:c r="F46" s="19" t="s">
        <ns0:v>249</ns0:v>
      </ns0:c>
      <ns0:c r="G46" s="17" t="s">
        <ns0:v>18</ns0:v>
      </ns0:c>
      <ns0:c r="H46" s="17"/>
      <ns0:c r="I46" s="17" t="n">
        <ns0:v>1000268</ns0:v>
      </ns0:c>
      <ns0:c r="J46" s="19" t="s">
        <ns0:v>15</ns0:v>
      </ns0:c>
      <ns0:c r="K46" s="17" t="s">
        <ns0:v>64</ns0:v>
      </ns0:c>
      <ns0:c r="L46" s="21" t="n">
        <ns0:v>348.98</ns0:v>
      </ns0:c>
      <ns0:c r="M46" s="21" t="n">
        <ns0:v>62.82</ns0:v>
      </ns0:c>
      <ns0:c r="N46" s="21" t="n">
        <ns0:v>411.8</ns0:v>
      </ns0:c>
      <ns0:c r="O46" s="22" t="n">
        <ns0:v>0</ns0:v>
      </ns0:c>
      <ns0:c r="P46" s="23" t="n">
        <ns0:f aca="false">N46-O46</ns0:f>
        <ns0:v>411.8</ns0:v>
      </ns0:c>
      <ns0:c r="Q46" s="19" t="s">
        <ns0:v>65</ns0:v>
      </ns0:c>
      <ns0:c r="R46" s="19" t="s">
        <ns0:v>38</ns0:v>
      </ns0:c>
      <ns0:c r="S46" s="24"/>
      <ns0:c r="T46" s="25"/>
      <ns0:c r="U46" s="20" t="s">
        <ns0:v>269</ns0:v>
      </ns0:c>
    </ns0:row>
    <ns0:row r="47" customFormat="false" ht="34.5" hidden="false" customHeight="true" outlineLevel="0" collapsed="false">
      <ns0:c r="A47" s="17" t="s">
        <ns0:v>270</ns0:v>
      </ns0:c>
      <ns0:c r="B47" s="18" t="n">
        <ns0:v>46006</ns0:v>
      </ns0:c>
      <ns0:c r="C47" s="19" t="s">
        <ns0:v>130</ns0:v>
      </ns0:c>
      <ns0:c r="D47" s="19" t="s">
        <ns0:v>271</ns0:v>
      </ns0:c>
      <ns0:c r="E47" s="20" t="s">
        <ns0:v>272</ns0:v>
      </ns0:c>
      <ns0:c r="F47" s="19" t="s">
        <ns0:v>273</ns0:v>
      </ns0:c>
      <ns0:c r="G47" s="17" t="s">
        <ns0:v>18</ns0:v>
      </ns0:c>
      <ns0:c r="H47" s="17"/>
      <ns0:c r="I47" s="17" t="n">
        <ns0:v>1000269</ns0:v>
      </ns0:c>
      <ns0:c r="J47" s="19" t="s">
        <ns0:v>15</ns0:v>
      </ns0:c>
      <ns0:c r="K47" s="17" t="s">
        <ns0:v>64</ns0:v>
      </ns0:c>
      <ns0:c r="L47" s="21" t="n">
        <ns0:v>5371</ns0:v>
      </ns0:c>
      <ns0:c r="M47" s="21" t="n">
        <ns0:v>966.78</ns0:v>
      </ns0:c>
      <ns0:c r="N47" s="21" t="n">
        <ns0:v>6337.78</ns0:v>
      </ns0:c>
      <ns0:c r="O47" s="22" t="n">
        <ns0:v>0</ns0:v>
      </ns0:c>
      <ns0:c r="P47" s="23" t="n">
        <ns0:f aca="false">N47-O47</ns0:f>
        <ns0:v>6337.78</ns0:v>
      </ns0:c>
      <ns0:c r="Q47" s="19" t="s">
        <ns0:v>92</ns0:v>
      </ns0:c>
      <ns0:c r="R47" s="19" t="s">
        <ns0:v>38</ns0:v>
      </ns0:c>
      <ns0:c r="S47" s="24"/>
      <ns0:c r="T47" s="25"/>
      <ns0:c r="U47" s="20" t="s">
        <ns0:v>274</ns0:v>
      </ns0:c>
    </ns0:row>
    <ns0:row r="48" customFormat="false" ht="34.5" hidden="false" customHeight="true" outlineLevel="0" collapsed="false">
      <ns0:c r="A48" s="17" t="s">
        <ns0:v>275</ns0:v>
      </ns0:c>
      <ns0:c r="B48" s="18" t="n">
        <ns0:v>46006</ns0:v>
      </ns0:c>
      <ns0:c r="C48" s="19" t="s">
        <ns0:v>212</ns0:v>
      </ns0:c>
      <ns0:c r="D48" s="19" t="s">
        <ns0:v>213</ns0:v>
      </ns0:c>
      <ns0:c r="E48" s="20" t="s">
        <ns0:v>276</ns0:v>
      </ns0:c>
      <ns0:c r="F48" s="19" t="s">
        <ns0:v>277</ns0:v>
      </ns0:c>
      <ns0:c r="G48" s="17" t="s">
        <ns0:v>14</ns0:v>
      </ns0:c>
      <ns0:c r="H48" s="17" t="n">
        <ns0:v>277</ns0:v>
      </ns0:c>
      <ns0:c r="I48" s="17"/>
      <ns0:c r="J48" s="19" t="s">
        <ns0:v>15</ns0:v>
      </ns0:c>
      <ns0:c r="K48" s="17" t="s">
        <ns0:v>49</ns0:v>
      </ns0:c>
      <ns0:c r="L48" s="21" t="n">
        <ns0:v>11742.6</ns0:v>
      </ns0:c>
      <ns0:c r="M48" s="21" t="n">
        <ns0:v>2113.68</ns0:v>
      </ns0:c>
      <ns0:c r="N48" s="21" t="n">
        <ns0:v>13856.28</ns0:v>
      </ns0:c>
      <ns0:c r="O48" s="22" t="n">
        <ns0:v>0</ns0:v>
      </ns0:c>
      <ns0:c r="P48" s="23" t="n">
        <ns0:f aca="false">N48-O48</ns0:f>
        <ns0:v>13856.28</ns0:v>
      </ns0:c>
      <ns0:c r="Q48" s="19" t="s">
        <ns0:v>50</ns0:v>
      </ns0:c>
      <ns0:c r="R48" s="19" t="s">
        <ns0:v>51</ns0:v>
      </ns0:c>
      <ns0:c r="S48" s="24"/>
      <ns0:c r="T48" s="25"/>
      <ns0:c r="U48" s="20" t="s">
        <ns0:v>278</ns0:v>
      </ns0:c>
    </ns0:row>
    <ns0:row r="49" customFormat="false" ht="23.25" hidden="false" customHeight="true" outlineLevel="0" collapsed="false">
      <ns0:c r="A49" s="17" t="s">
        <ns0:v>279</ns0:v>
      </ns0:c>
      <ns0:c r="B49" s="18" t="n">
        <ns0:v>46006</ns0:v>
      </ns0:c>
      <ns0:c r="C49" s="19" t="s">
        <ns0:v>104</ns0:v>
      </ns0:c>
      <ns0:c r="D49" s="19" t="s">
        <ns0:v>280</ns0:v>
      </ns0:c>
      <ns0:c r="E49" s="20" t="s">
        <ns0:v>281</ns0:v>
      </ns0:c>
      <ns0:c r="F49" s="19" t="s">
        <ns0:v>165</ns0:v>
      </ns0:c>
      <ns0:c r="G49" s="17" t="s">
        <ns0:v>18</ns0:v>
      </ns0:c>
      <ns0:c r="H49" s="17"/>
      <ns0:c r="I49" s="17" t="n">
        <ns0:v>1000270</ns0:v>
      </ns0:c>
      <ns0:c r="J49" s="19" t="s">
        <ns0:v>15</ns0:v>
      </ns0:c>
      <ns0:c r="K49" s="17" t="s">
        <ns0:v>64</ns0:v>
      </ns0:c>
      <ns0:c r="L49" s="21" t="n">
        <ns0:v>812.5</ns0:v>
      </ns0:c>
      <ns0:c r="M49" s="21" t="n">
        <ns0:v>146.25</ns0:v>
      </ns0:c>
      <ns0:c r="N49" s="21" t="n">
        <ns0:v>958.75</ns0:v>
      </ns0:c>
      <ns0:c r="O49" s="22" t="n">
        <ns0:v>0</ns0:v>
      </ns0:c>
      <ns0:c r="P49" s="23" t="n">
        <ns0:f aca="false">N49-O49</ns0:f>
        <ns0:v>958.75</ns0:v>
      </ns0:c>
      <ns0:c r="Q49" s="19" t="s">
        <ns0:v>65</ns0:v>
      </ns0:c>
      <ns0:c r="R49" s="19" t="s">
        <ns0:v>38</ns0:v>
      </ns0:c>
      <ns0:c r="S49" s="24"/>
      <ns0:c r="T49" s="25"/>
      <ns0:c r="U49" s="20" t="s">
        <ns0:v>282</ns0:v>
      </ns0:c>
    </ns0:row>
    <ns0:row r="50" customFormat="false" ht="23.25" hidden="false" customHeight="true" outlineLevel="0" collapsed="false">
      <ns0:c r="A50" s="17" t="s">
        <ns0:v>283</ns0:v>
      </ns0:c>
      <ns0:c r="B50" s="18" t="n">
        <ns0:v>46011</ns0:v>
      </ns0:c>
      <ns0:c r="C50" s="19" t="s">
        <ns0:v>110</ns0:v>
      </ns0:c>
      <ns0:c r="D50" s="19" t="s">
        <ns0:v>284</ns0:v>
      </ns0:c>
      <ns0:c r="E50" s="20" t="s">
        <ns0:v>285</ns0:v>
      </ns0:c>
      <ns0:c r="F50" s="19" t="s">
        <ns0:v>249</ns0:v>
      </ns0:c>
      <ns0:c r="G50" s="17" t="s">
        <ns0:v>16</ns0:v>
      </ns0:c>
      <ns0:c r="H50" s="17"/>
      <ns0:c r="I50" s="17" t="n">
        <ns0:v>400208</ns0:v>
      </ns0:c>
      <ns0:c r="J50" s="19" t="s">
        <ns0:v>15</ns0:v>
      </ns0:c>
      <ns0:c r="K50" s="17" t="s">
        <ns0:v>64</ns0:v>
      </ns0:c>
      <ns0:c r="L50" s="21" t="n">
        <ns0:v>1874.69</ns0:v>
      </ns0:c>
      <ns0:c r="M50" s="21" t="n">
        <ns0:v>337.44</ns0:v>
      </ns0:c>
      <ns0:c r="N50" s="21" t="n">
        <ns0:v>2212.13</ns0:v>
      </ns0:c>
      <ns0:c r="O50" s="22" t="n">
        <ns0:v>0</ns0:v>
      </ns0:c>
      <ns0:c r="P50" s="23" t="n">
        <ns0:f aca="false">N50-O50</ns0:f>
        <ns0:v>2212.13</ns0:v>
      </ns0:c>
      <ns0:c r="Q50" s="19" t="s">
        <ns0:v>92</ns0:v>
      </ns0:c>
      <ns0:c r="R50" s="19" t="s">
        <ns0:v>38</ns0:v>
      </ns0:c>
      <ns0:c r="S50" s="24"/>
      <ns0:c r="T50" s="25"/>
      <ns0:c r="U50" s="20" t="s">
        <ns0:v>286</ns0:v>
      </ns0:c>
    </ns0:row>
    <ns0:row r="51" customFormat="false" ht="23.25" hidden="false" customHeight="true" outlineLevel="0" collapsed="false">
      <ns0:c r="A51" s="17" t="s">
        <ns0:v>287</ns0:v>
      </ns0:c>
      <ns0:c r="B51" s="18" t="n">
        <ns0:v>46011</ns0:v>
      </ns0:c>
      <ns0:c r="C51" s="19" t="s">
        <ns0:v>110</ns0:v>
      </ns0:c>
      <ns0:c r="D51" s="19" t="s">
        <ns0:v>61</ns0:v>
      </ns0:c>
      <ns0:c r="E51" s="20" t="s">
        <ns0:v>288</ns0:v>
      </ns0:c>
      <ns0:c r="F51" s="19" t="s">
        <ns0:v>249</ns0:v>
      </ns0:c>
      <ns0:c r="G51" s="17" t="s">
        <ns0:v>16</ns0:v>
      </ns0:c>
      <ns0:c r="H51" s="17"/>
      <ns0:c r="I51" s="17" t="n">
        <ns0:v>400209</ns0:v>
      </ns0:c>
      <ns0:c r="J51" s="19" t="s">
        <ns0:v>15</ns0:v>
      </ns0:c>
      <ns0:c r="K51" s="17" t="s">
        <ns0:v>64</ns0:v>
      </ns0:c>
      <ns0:c r="L51" s="21" t="n">
        <ns0:v>644.46</ns0:v>
      </ns0:c>
      <ns0:c r="M51" s="21" t="n">
        <ns0:v>116</ns0:v>
      </ns0:c>
      <ns0:c r="N51" s="21" t="n">
        <ns0:v>760.46</ns0:v>
      </ns0:c>
      <ns0:c r="O51" s="22" t="n">
        <ns0:v>0</ns0:v>
      </ns0:c>
      <ns0:c r="P51" s="23" t="n">
        <ns0:f aca="false">N51-O51</ns0:f>
        <ns0:v>760.46</ns0:v>
      </ns0:c>
      <ns0:c r="Q51" s="19" t="s">
        <ns0:v>92</ns0:v>
      </ns0:c>
      <ns0:c r="R51" s="19" t="s">
        <ns0:v>38</ns0:v>
      </ns0:c>
      <ns0:c r="S51" s="24"/>
      <ns0:c r="T51" s="25"/>
      <ns0:c r="U51" s="20" t="s">
        <ns0:v>289</ns0:v>
      </ns0:c>
    </ns0:row>
    <ns0:row r="52" customFormat="false" ht="23.25" hidden="false" customHeight="true" outlineLevel="0" collapsed="false">
      <ns0:c r="A52" s="17" t="s">
        <ns0:v>290</ns0:v>
      </ns0:c>
      <ns0:c r="B52" s="18" t="n">
        <ns0:v>46027</ns0:v>
      </ns0:c>
      <ns0:c r="C52" s="19" t="s">
        <ns0:v>212</ns0:v>
      </ns0:c>
      <ns0:c r="D52" s="19" t="s">
        <ns0:v>213</ns0:v>
      </ns0:c>
      <ns0:c r="E52" s="20" t="s">
        <ns0:v>291</ns0:v>
      </ns0:c>
      <ns0:c r="F52" s="19" t="s">
        <ns0:v>292</ns0:v>
      </ns0:c>
      <ns0:c r="G52" s="17" t="s">
        <ns0:v>18</ns0:v>
      </ns0:c>
      <ns0:c r="H52" s="17"/>
      <ns0:c r="I52" s="17" t="n">
        <ns0:v>1000273</ns0:v>
      </ns0:c>
      <ns0:c r="J52" s="19" t="s">
        <ns0:v>15</ns0:v>
      </ns0:c>
      <ns0:c r="K52" s="17" t="s">
        <ns0:v>64</ns0:v>
      </ns0:c>
      <ns0:c r="L52" s="21" t="n">
        <ns0:v>350</ns0:v>
      </ns0:c>
      <ns0:c r="M52" s="21" t="n">
        <ns0:v>63</ns0:v>
      </ns0:c>
      <ns0:c r="N52" s="21" t="n">
        <ns0:v>413</ns0:v>
      </ns0:c>
      <ns0:c r="O52" s="22" t="n">
        <ns0:v>0</ns0:v>
      </ns0:c>
      <ns0:c r="P52" s="23" t="n">
        <ns0:f aca="false">N52-O52</ns0:f>
        <ns0:v>413</ns0:v>
      </ns0:c>
      <ns0:c r="Q52" s="19" t="s">
        <ns0:v>65</ns0:v>
      </ns0:c>
      <ns0:c r="R52" s="19" t="s">
        <ns0:v>38</ns0:v>
      </ns0:c>
      <ns0:c r="S52" s="24"/>
      <ns0:c r="T52" s="25"/>
      <ns0:c r="U52" s="20" t="s">
        <ns0:v>293</ns0:v>
      </ns0:c>
    </ns0:row>
    <ns0:row r="53" customFormat="false" ht="23.25" hidden="false" customHeight="true" outlineLevel="0" collapsed="false">
      <ns0:c r="A53" s="17" t="s">
        <ns0:v>294</ns0:v>
      </ns0:c>
      <ns0:c r="B53" s="18" t="n">
        <ns0:v>46029</ns0:v>
      </ns0:c>
      <ns0:c r="C53" s="19" t="s">
        <ns0:v>212</ns0:v>
      </ns0:c>
      <ns0:c r="D53" s="19" t="s">
        <ns0:v>295</ns0:v>
      </ns0:c>
      <ns0:c r="E53" s="20" t="s">
        <ns0:v>296</ns0:v>
      </ns0:c>
      <ns0:c r="F53" s="19" t="s">
        <ns0:v>159</ns0:v>
      </ns0:c>
      <ns0:c r="G53" s="17" t="s">
        <ns0:v>18</ns0:v>
      </ns0:c>
      <ns0:c r="H53" s="17"/>
      <ns0:c r="I53" s="17" t="n">
        <ns0:v>1000274</ns0:v>
      </ns0:c>
      <ns0:c r="J53" s="19" t="s">
        <ns0:v>15</ns0:v>
      </ns0:c>
      <ns0:c r="K53" s="17" t="s">
        <ns0:v>64</ns0:v>
      </ns0:c>
      <ns0:c r="L53" s="21" t="n">
        <ns0:v>1855</ns0:v>
      </ns0:c>
      <ns0:c r="M53" s="21" t="n">
        <ns0:v>333.9</ns0:v>
      </ns0:c>
      <ns0:c r="N53" s="21" t="n">
        <ns0:v>2188.9</ns0:v>
      </ns0:c>
      <ns0:c r="O53" s="22" t="n">
        <ns0:v>0</ns0:v>
      </ns0:c>
      <ns0:c r="P53" s="23" t="n">
        <ns0:f aca="false">N53-O53</ns0:f>
        <ns0:v>2188.9</ns0:v>
      </ns0:c>
      <ns0:c r="Q53" s="19" t="s">
        <ns0:v>65</ns0:v>
      </ns0:c>
      <ns0:c r="R53" s="19" t="s">
        <ns0:v>38</ns0:v>
      </ns0:c>
      <ns0:c r="S53" s="24"/>
      <ns0:c r="T53" s="25"/>
      <ns0:c r="U53" s="20" t="s">
        <ns0:v>293</ns0:v>
      </ns0:c>
    </ns0:row>
    <ns0:row r="54" customFormat="false" ht="15" hidden="false" customHeight="true" outlineLevel="0" collapsed="false">
      <ns0:c r="A54" s="17" t="s">
        <ns0:v>297</ns0:v>
      </ns0:c>
      <ns0:c r="B54" s="18" t="n">
        <ns0:v>46031</ns0:v>
      </ns0:c>
      <ns0:c r="C54" s="19" t="s">
        <ns0:v>298</ns0:v>
      </ns0:c>
      <ns0:c r="D54" s="19" t="s">
        <ns0:v>69</ns0:v>
      </ns0:c>
      <ns0:c r="E54" s="20" t="s">
        <ns0:v>299</ns0:v>
      </ns0:c>
      <ns0:c r="F54" s="19" t="s">
        <ns0:v>159</ns0:v>
      </ns0:c>
      <ns0:c r="G54" s="17" t="s">
        <ns0:v>16</ns0:v>
      </ns0:c>
      <ns0:c r="H54" s="17"/>
      <ns0:c r="I54" s="17" t="n">
        <ns0:v>400206</ns0:v>
      </ns0:c>
      <ns0:c r="J54" s="19" t="s">
        <ns0:v>15</ns0:v>
      </ns0:c>
      <ns0:c r="K54" s="17" t="s">
        <ns0:v>64</ns0:v>
      </ns0:c>
      <ns0:c r="L54" s="21" t="n">
        <ns0:v>1186.44</ns0:v>
      </ns0:c>
      <ns0:c r="M54" s="21" t="n">
        <ns0:v>213.56</ns0:v>
      </ns0:c>
      <ns0:c r="N54" s="21" t="n">
        <ns0:v>1400</ns0:v>
      </ns0:c>
      <ns0:c r="O54" s="22" t="n">
        <ns0:v>0</ns0:v>
      </ns0:c>
      <ns0:c r="P54" s="23" t="n">
        <ns0:f aca="false">N54-O54</ns0:f>
        <ns0:v>1400</ns0:v>
      </ns0:c>
      <ns0:c r="Q54" s="19" t="s">
        <ns0:v>65</ns0:v>
      </ns0:c>
      <ns0:c r="R54" s="19" t="s">
        <ns0:v>38</ns0:v>
      </ns0:c>
      <ns0:c r="S54" s="24"/>
      <ns0:c r="T54" s="25"/>
      <ns0:c r="U54" s="20" t="s">
        <ns0:v>300</ns0:v>
      </ns0:c>
    </ns0:row>
    <ns0:row r="55" customFormat="false" ht="34.5" hidden="false" customHeight="true" outlineLevel="0" collapsed="false">
      <ns0:c r="A55" s="17" t="s">
        <ns0:v>301</ns0:v>
      </ns0:c>
      <ns0:c r="B55" s="18" t="n">
        <ns0:v>46038</ns0:v>
      </ns0:c>
      <ns0:c r="C55" s="19" t="s">
        <ns0:v>212</ns0:v>
      </ns0:c>
      <ns0:c r="D55" s="19" t="s">
        <ns0:v>302</ns0:v>
      </ns0:c>
      <ns0:c r="E55" s="20" t="s">
        <ns0:v>303</ns0:v>
      </ns0:c>
      <ns0:c r="F55" s="19" t="s">
        <ns0:v>304</ns0:v>
      </ns0:c>
      <ns0:c r="G55" s="17" t="s">
        <ns0:v>18</ns0:v>
      </ns0:c>
      <ns0:c r="H55" s="17"/>
      <ns0:c r="I55" s="17" t="n">
        <ns0:v>1000276</ns0:v>
      </ns0:c>
      <ns0:c r="J55" s="19" t="s">
        <ns0:v>17</ns0:v>
      </ns0:c>
      <ns0:c r="K55" s="17" t="s">
        <ns0:v>64</ns0:v>
      </ns0:c>
      <ns0:c r="L55" s="21" t="n">
        <ns0:v>10600</ns0:v>
      </ns0:c>
      <ns0:c r="M55" s="21" t="n">
        <ns0:v>1908</ns0:v>
      </ns0:c>
      <ns0:c r="N55" s="21" t="n">
        <ns0:v>12508</ns0:v>
      </ns0:c>
      <ns0:c r="O55" s="22" t="n">
        <ns0:v>0</ns0:v>
      </ns0:c>
      <ns0:c r="P55" s="23" t="n">
        <ns0:f aca="false">N55-O55</ns0:f>
        <ns0:v>12508</ns0:v>
      </ns0:c>
      <ns0:c r="Q55" s="19" t="s">
        <ns0:v>96</ns0:v>
      </ns0:c>
      <ns0:c r="R55" s="19" t="s">
        <ns0:v>38</ns0:v>
      </ns0:c>
      <ns0:c r="S55" s="24"/>
      <ns0:c r="T55" s="25"/>
      <ns0:c r="U55" s="20" t="s">
        <ns0:v>305</ns0:v>
      </ns0:c>
    </ns0:row>
    <ns0:row r="56" customFormat="false" ht="23.25" hidden="false" customHeight="true" outlineLevel="0" collapsed="false">
      <ns0:c r="A56" s="17" t="s">
        <ns0:v>306</ns0:v>
      </ns0:c>
      <ns0:c r="B56" s="18" t="n">
        <ns0:v>46041</ns0:v>
      </ns0:c>
      <ns0:c r="C56" s="19" t="s">
        <ns0:v>212</ns0:v>
      </ns0:c>
      <ns0:c r="D56" s="19" t="s">
        <ns0:v>213</ns0:v>
      </ns0:c>
      <ns0:c r="E56" s="20" t="s">
        <ns0:v>307</ns0:v>
      </ns0:c>
      <ns0:c r="F56" s="19" t="s">
        <ns0:v>89</ns0:v>
      </ns0:c>
      <ns0:c r="G56" s="17" t="s">
        <ns0:v>18</ns0:v>
      </ns0:c>
      <ns0:c r="H56" s="17"/>
      <ns0:c r="I56" s="17" t="n">
        <ns0:v>1000279</ns0:v>
      </ns0:c>
      <ns0:c r="J56" s="19" t="s">
        <ns0:v>17</ns0:v>
      </ns0:c>
      <ns0:c r="K56" s="17" t="s">
        <ns0:v>64</ns0:v>
      </ns0:c>
      <ns0:c r="L56" s="21" t="n">
        <ns0:v>701</ns0:v>
      </ns0:c>
      <ns0:c r="M56" s="21" t="n">
        <ns0:v>126.18</ns0:v>
      </ns0:c>
      <ns0:c r="N56" s="21" t="n">
        <ns0:v>827.18</ns0:v>
      </ns0:c>
      <ns0:c r="O56" s="22" t="n">
        <ns0:v>0</ns0:v>
      </ns0:c>
      <ns0:c r="P56" s="23" t="n">
        <ns0:f aca="false">N56-O56</ns0:f>
        <ns0:v>827.18</ns0:v>
      </ns0:c>
      <ns0:c r="Q56" s="19" t="s">
        <ns0:v>96</ns0:v>
      </ns0:c>
      <ns0:c r="R56" s="19" t="s">
        <ns0:v>38</ns0:v>
      </ns0:c>
      <ns0:c r="S56" s="24"/>
      <ns0:c r="T56" s="25"/>
      <ns0:c r="U56" s="20" t="s">
        <ns0:v>293</ns0:v>
      </ns0:c>
    </ns0:row>
    <ns0:row r="57" customFormat="false" ht="23.25" hidden="false" customHeight="true" outlineLevel="0" collapsed="false">
      <ns0:c r="A57" s="17" t="s">
        <ns0:v>308</ns0:v>
      </ns0:c>
      <ns0:c r="B57" s="18" t="n">
        <ns0:v>46042</ns0:v>
      </ns0:c>
      <ns0:c r="C57" s="19" t="s">
        <ns0:v>86</ns0:v>
      </ns0:c>
      <ns0:c r="D57" s="19" t="s">
        <ns0:v>87</ns0:v>
      </ns0:c>
      <ns0:c r="E57" s="20" t="s">
        <ns0:v>309</ns0:v>
      </ns0:c>
      <ns0:c r="F57" s="19" t="s">
        <ns0:v>89</ns0:v>
      </ns0:c>
      <ns0:c r="G57" s="17" t="s">
        <ns0:v>14</ns0:v>
      </ns0:c>
      <ns0:c r="H57" s="17" t="n">
        <ns0:v>279</ns0:v>
      </ns0:c>
      <ns0:c r="I57" s="17"/>
      <ns0:c r="J57" s="19" t="s">
        <ns0:v>17</ns0:v>
      </ns0:c>
      <ns0:c r="K57" s="17" t="s">
        <ns0:v>49</ns0:v>
      </ns0:c>
      <ns0:c r="L57" s="21" t="n">
        <ns0:v>28277.6</ns0:v>
      </ns0:c>
      <ns0:c r="M57" s="21" t="n">
        <ns0:v>5089.97</ns0:v>
      </ns0:c>
      <ns0:c r="N57" s="21" t="n">
        <ns0:v>33367.57</ns0:v>
      </ns0:c>
      <ns0:c r="O57" s="22" t="n">
        <ns0:v>0</ns0:v>
      </ns0:c>
      <ns0:c r="P57" s="23" t="n">
        <ns0:f aca="false">N57-O57</ns0:f>
        <ns0:v>33367.57</ns0:v>
      </ns0:c>
      <ns0:c r="Q57" s="19" t="s">
        <ns0:v>50</ns0:v>
      </ns0:c>
      <ns0:c r="R57" s="19" t="s">
        <ns0:v>51</ns0:v>
      </ns0:c>
      <ns0:c r="S57" s="24"/>
      <ns0:c r="T57" s="25"/>
      <ns0:c r="U57" s="20" t="s">
        <ns0:v>310</ns0:v>
      </ns0:c>
    </ns0:row>
    <ns0:row r="58" customFormat="false" ht="34.5" hidden="false" customHeight="true" outlineLevel="0" collapsed="false">
      <ns0:c r="A58" s="17" t="s">
        <ns0:v>311</ns0:v>
      </ns0:c>
      <ns0:c r="B58" s="18" t="n">
        <ns0:v>46042</ns0:v>
      </ns0:c>
      <ns0:c r="C58" s="19" t="s">
        <ns0:v>312</ns0:v>
      </ns0:c>
      <ns0:c r="D58" s="19" t="s">
        <ns0:v>313</ns0:v>
      </ns0:c>
      <ns0:c r="E58" s="20" t="s">
        <ns0:v>314</ns0:v>
      </ns0:c>
      <ns0:c r="F58" s="19" t="s">
        <ns0:v>315</ns0:v>
      </ns0:c>
      <ns0:c r="G58" s="17" t="s">
        <ns0:v>18</ns0:v>
      </ns0:c>
      <ns0:c r="H58" s="17"/>
      <ns0:c r="I58" s="17" t="n">
        <ns0:v>1000280</ns0:v>
      </ns0:c>
      <ns0:c r="J58" s="19" t="s">
        <ns0:v>17</ns0:v>
      </ns0:c>
      <ns0:c r="K58" s="17" t="s">
        <ns0:v>64</ns0:v>
      </ns0:c>
      <ns0:c r="L58" s="21" t="n">
        <ns0:v>2458</ns0:v>
      </ns0:c>
      <ns0:c r="M58" s="21" t="n">
        <ns0:v>442.44</ns0:v>
      </ns0:c>
      <ns0:c r="N58" s="21" t="n">
        <ns0:v>2900.44</ns0:v>
      </ns0:c>
      <ns0:c r="O58" s="22" t="n">
        <ns0:v>0</ns0:v>
      </ns0:c>
      <ns0:c r="P58" s="23" t="n">
        <ns0:f aca="false">N58-O58</ns0:f>
        <ns0:v>2900.44</ns0:v>
      </ns0:c>
      <ns0:c r="Q58" s="19" t="s">
        <ns0:v>96</ns0:v>
      </ns0:c>
      <ns0:c r="R58" s="19" t="s">
        <ns0:v>38</ns0:v>
      </ns0:c>
      <ns0:c r="S58" s="24"/>
      <ns0:c r="T58" s="25"/>
      <ns0:c r="U58" s="20" t="s">
        <ns0:v>316</ns0:v>
      </ns0:c>
    </ns0:row>
    <ns0:row r="59" customFormat="false" ht="23.25" hidden="false" customHeight="true" outlineLevel="0" collapsed="false">
      <ns0:c r="A59" s="17" t="s">
        <ns0:v>317</ns0:v>
      </ns0:c>
      <ns0:c r="B59" s="18" t="n">
        <ns0:v>46044</ns0:v>
      </ns0:c>
      <ns0:c r="C59" s="19" t="s">
        <ns0:v>130</ns0:v>
      </ns0:c>
      <ns0:c r="D59" s="19" t="s">
        <ns0:v>69</ns0:v>
      </ns0:c>
      <ns0:c r="E59" s="20" t="s">
        <ns0:v>318</ns0:v>
      </ns0:c>
      <ns0:c r="F59" s="19" t="s">
        <ns0:v>319</ns0:v>
      </ns0:c>
      <ns0:c r="G59" s="17" t="s">
        <ns0:v>18</ns0:v>
      </ns0:c>
      <ns0:c r="H59" s="17"/>
      <ns0:c r="I59" s="17" t="n">
        <ns0:v>1000282</ns0:v>
      </ns0:c>
      <ns0:c r="J59" s="19" t="s">
        <ns0:v>15</ns0:v>
      </ns0:c>
      <ns0:c r="K59" s="17" t="s">
        <ns0:v>64</ns0:v>
      </ns0:c>
      <ns0:c r="L59" s="21" t="n">
        <ns0:v>2515</ns0:v>
      </ns0:c>
      <ns0:c r="M59" s="21" t="n">
        <ns0:v>452.7</ns0:v>
      </ns0:c>
      <ns0:c r="N59" s="21" t="n">
        <ns0:v>2967.7</ns0:v>
      </ns0:c>
      <ns0:c r="O59" s="22" t="n">
        <ns0:v>0</ns0:v>
      </ns0:c>
      <ns0:c r="P59" s="23" t="n">
        <ns0:f aca="false">N59-O59</ns0:f>
        <ns0:v>2967.7</ns0:v>
      </ns0:c>
      <ns0:c r="Q59" s="19" t="s">
        <ns0:v>65</ns0:v>
      </ns0:c>
      <ns0:c r="R59" s="19" t="s">
        <ns0:v>38</ns0:v>
      </ns0:c>
      <ns0:c r="S59" s="24"/>
      <ns0:c r="T59" s="25"/>
      <ns0:c r="U59" s="20" t="s">
        <ns0:v>320</ns0:v>
      </ns0:c>
    </ns0:row>
    <ns0:row r="60" customFormat="false" ht="57" hidden="false" customHeight="true" outlineLevel="0" collapsed="false">
      <ns0:c r="A60" s="26" t="s">
        <ns0:v>321</ns0:v>
      </ns0:c>
      <ns0:c r="B60" s="27" t="n">
        <ns0:v>46045</ns0:v>
      </ns0:c>
      <ns0:c r="C60" s="28" t="s">
        <ns0:v>110</ns0:v>
      </ns0:c>
      <ns0:c r="D60" s="28" t="s">
        <ns0:v>322</ns0:v>
      </ns0:c>
      <ns0:c r="E60" s="29" t="s">
        <ns0:v>323</ns0:v>
      </ns0:c>
      <ns0:c r="F60" s="28" t="s">
        <ns0:v>89</ns0:v>
      </ns0:c>
      <ns0:c r="G60" s="26" t="s">
        <ns0:v>14</ns0:v>
      </ns0:c>
      <ns0:c r="H60" s="26" t="n">
        <ns0:v>282</ns0:v>
      </ns0:c>
      <ns0:c r="I60" s="26"/>
      <ns0:c r="J60" s="28" t="s">
        <ns0:v>15</ns0:v>
      </ns0:c>
      <ns0:c r="K60" s="26" t="s">
        <ns0:v>49</ns0:v>
      </ns0:c>
      <ns0:c r="L60" s="30" t="n">
        <ns0:v>10292</ns0:v>
      </ns0:c>
      <ns0:c r="M60" s="30" t="n">
        <ns0:v>1852.56</ns0:v>
      </ns0:c>
      <ns0:c r="N60" s="30" t="n">
        <ns0:v>12144.56</ns0:v>
      </ns0:c>
      <ns0:c r="O60" s="31" t="n">
        <ns0:v>0</ns0:v>
      </ns0:c>
      <ns0:c r="P60" s="32" t="n">
        <ns0:f aca="false">N60-O60</ns0:f>
        <ns0:v>12144.56</ns0:v>
      </ns0:c>
      <ns0:c r="Q60" s="28" t="s">
        <ns0:v>50</ns0:v>
      </ns0:c>
      <ns0:c r="R60" s="28" t="s">
        <ns0:v>51</ns0:v>
      </ns0:c>
      <ns0:c r="S60" s="33"/>
      <ns0:c r="T60" s="34"/>
      <ns0:c r="U60" s="29" t="s">
        <ns0:v>324</ns0:v>
      </ns0:c>
    </ns0:row>
    <ns0:row r="61" customFormat="false" ht="45.75" hidden="false" customHeight="true" outlineLevel="0" collapsed="false">
      <ns0:c r="A61" s="17" t="s">
        <ns0:v>325</ns0:v>
      </ns0:c>
      <ns0:c r="B61" s="18" t="n">
        <ns0:v>46049</ns0:v>
      </ns0:c>
      <ns0:c r="C61" s="19" t="s">
        <ns0:v>110</ns0:v>
      </ns0:c>
      <ns0:c r="D61" s="19" t="s">
        <ns0:v>322</ns0:v>
      </ns0:c>
      <ns0:c r="E61" s="20" t="s">
        <ns0:v>326</ns0:v>
      </ns0:c>
      <ns0:c r="F61" s="19" t="s">
        <ns0:v>327</ns0:v>
      </ns0:c>
      <ns0:c r="G61" s="17" t="s">
        <ns0:v>14</ns0:v>
      </ns0:c>
      <ns0:c r="H61" s="17" t="n">
        <ns0:v>284</ns0:v>
      </ns0:c>
      <ns0:c r="I61" s="17"/>
      <ns0:c r="J61" s="19" t="s">
        <ns0:v>15</ns0:v>
      </ns0:c>
      <ns0:c r="K61" s="17" t="s">
        <ns0:v>49</ns0:v>
      </ns0:c>
      <ns0:c r="L61" s="21" t="n">
        <ns0:v>19561</ns0:v>
      </ns0:c>
      <ns0:c r="M61" s="21" t="n">
        <ns0:v>3520.98</ns0:v>
      </ns0:c>
      <ns0:c r="N61" s="21" t="n">
        <ns0:v>23081.98</ns0:v>
      </ns0:c>
      <ns0:c r="O61" s="22" t="n">
        <ns0:v>0</ns0:v>
      </ns0:c>
      <ns0:c r="P61" s="23" t="n">
        <ns0:f aca="false">N61-O61</ns0:f>
        <ns0:v>23081.98</ns0:v>
      </ns0:c>
      <ns0:c r="Q61" s="19" t="s">
        <ns0:v>50</ns0:v>
      </ns0:c>
      <ns0:c r="R61" s="19" t="s">
        <ns0:v>51</ns0:v>
      </ns0:c>
      <ns0:c r="S61" s="24"/>
      <ns0:c r="T61" s="25"/>
      <ns0:c r="U61" s="20" t="s">
        <ns0:v>328</ns0:v>
      </ns0:c>
    </ns0:row>
    <ns0:row r="62" customFormat="false" ht="34.5" hidden="false" customHeight="true" outlineLevel="0" collapsed="false">
      <ns0:c r="A62" s="26" t="s">
        <ns0:v>329</ns0:v>
      </ns0:c>
      <ns0:c r="B62" s="27" t="n">
        <ns0:v>46049</ns0:v>
      </ns0:c>
      <ns0:c r="C62" s="28" t="s">
        <ns0:v>110</ns0:v>
      </ns0:c>
      <ns0:c r="D62" s="28" t="s">
        <ns0:v>322</ns0:v>
      </ns0:c>
      <ns0:c r="E62" s="29" t="s">
        <ns0:v>330</ns0:v>
      </ns0:c>
      <ns0:c r="F62" s="28" t="s">
        <ns0:v>89</ns0:v>
      </ns0:c>
      <ns0:c r="G62" s="26" t="s">
        <ns0:v>14</ns0:v>
      </ns0:c>
      <ns0:c r="H62" s="26" t="n">
        <ns0:v>285</ns0:v>
      </ns0:c>
      <ns0:c r="I62" s="26"/>
      <ns0:c r="J62" s="28" t="s">
        <ns0:v>19</ns0:v>
      </ns0:c>
      <ns0:c r="K62" s="26" t="s">
        <ns0:v>49</ns0:v>
      </ns0:c>
      <ns0:c r="L62" s="30" t="n">
        <ns0:v>4965.6</ns0:v>
      </ns0:c>
      <ns0:c r="M62" s="30" t="n">
        <ns0:v>893.81</ns0:v>
      </ns0:c>
      <ns0:c r="N62" s="30" t="n">
        <ns0:v>5859.41</ns0:v>
      </ns0:c>
      <ns0:c r="O62" s="31" t="n">
        <ns0:v>0</ns0:v>
      </ns0:c>
      <ns0:c r="P62" s="32" t="n">
        <ns0:f aca="false">N62-O62</ns0:f>
        <ns0:v>5859.41</ns0:v>
      </ns0:c>
      <ns0:c r="Q62" s="28" t="s">
        <ns0:v>50</ns0:v>
      </ns0:c>
      <ns0:c r="R62" s="28" t="s">
        <ns0:v>51</ns0:v>
      </ns0:c>
      <ns0:c r="S62" s="33"/>
      <ns0:c r="T62" s="34"/>
      <ns0:c r="U62" s="29" t="s">
        <ns0:v>331</ns0:v>
      </ns0:c>
    </ns0:row>
    <ns0:row r="63" customFormat="false" ht="45.75" hidden="false" customHeight="true" outlineLevel="0" collapsed="false">
      <ns0:c r="A63" s="17" t="s">
        <ns0:v>332</ns0:v>
      </ns0:c>
      <ns0:c r="B63" s="18" t="n">
        <ns0:v>46053</ns0:v>
      </ns0:c>
      <ns0:c r="C63" s="19" t="s">
        <ns0:v>333</ns0:v>
      </ns0:c>
      <ns0:c r="D63" s="19" t="s">
        <ns0:v>334</ns0:v>
      </ns0:c>
      <ns0:c r="E63" s="20" t="s">
        <ns0:v>335</ns0:v>
      </ns0:c>
      <ns0:c r="F63" s="19" t="s">
        <ns0:v>165</ns0:v>
      </ns0:c>
      <ns0:c r="G63" s="17" t="s">
        <ns0:v>14</ns0:v>
      </ns0:c>
      <ns0:c r="H63" s="17" t="n">
        <ns0:v>286</ns0:v>
      </ns0:c>
      <ns0:c r="I63" s="17"/>
      <ns0:c r="J63" s="19" t="s">
        <ns0:v>15</ns0:v>
      </ns0:c>
      <ns0:c r="K63" s="17" t="s">
        <ns0:v>49</ns0:v>
      </ns0:c>
      <ns0:c r="L63" s="21" t="n">
        <ns0:v>4284</ns0:v>
      </ns0:c>
      <ns0:c r="M63" s="21" t="n">
        <ns0:v>771.12</ns0:v>
      </ns0:c>
      <ns0:c r="N63" s="21" t="n">
        <ns0:v>5055.12</ns0:v>
      </ns0:c>
      <ns0:c r="O63" s="22" t="n">
        <ns0:v>0</ns0:v>
      </ns0:c>
      <ns0:c r="P63" s="23" t="n">
        <ns0:f aca="false">N63-O63</ns0:f>
        <ns0:v>5055.12</ns0:v>
      </ns0:c>
      <ns0:c r="Q63" s="19" t="s">
        <ns0:v>50</ns0:v>
      </ns0:c>
      <ns0:c r="R63" s="19" t="s">
        <ns0:v>51</ns0:v>
      </ns0:c>
      <ns0:c r="S63" s="24"/>
      <ns0:c r="T63" s="25"/>
      <ns0:c r="U63" s="20" t="s">
        <ns0:v>336</ns0:v>
      </ns0:c>
    </ns0:row>
    <ns0:row r="64" customFormat="false" ht="34.5" hidden="false" customHeight="true" outlineLevel="0" collapsed="false">
      <ns0:c r="A64" s="17" t="s">
        <ns0:v>337</ns0:v>
      </ns0:c>
      <ns0:c r="B64" s="18" t="n">
        <ns0:v>46053</ns0:v>
      </ns0:c>
      <ns0:c r="C64" s="19" t="s">
        <ns0:v>333</ns0:v>
      </ns0:c>
      <ns0:c r="D64" s="19" t="s">
        <ns0:v>334</ns0:v>
      </ns0:c>
      <ns0:c r="E64" s="20" t="s">
        <ns0:v>338</ns0:v>
      </ns0:c>
      <ns0:c r="F64" s="19" t="s">
        <ns0:v>132</ns0:v>
      </ns0:c>
      <ns0:c r="G64" s="17" t="s">
        <ns0:v>14</ns0:v>
      </ns0:c>
      <ns0:c r="H64" s="17" t="n">
        <ns0:v>287</ns0:v>
      </ns0:c>
      <ns0:c r="I64" s="17"/>
      <ns0:c r="J64" s="19" t="s">
        <ns0:v>15</ns0:v>
      </ns0:c>
      <ns0:c r="K64" s="17" t="s">
        <ns0:v>49</ns0:v>
      </ns0:c>
      <ns0:c r="L64" s="21" t="n">
        <ns0:v>4998</ns0:v>
      </ns0:c>
      <ns0:c r="M64" s="21" t="n">
        <ns0:v>899.64</ns0:v>
      </ns0:c>
      <ns0:c r="N64" s="21" t="n">
        <ns0:v>5897.64</ns0:v>
      </ns0:c>
      <ns0:c r="O64" s="22" t="n">
        <ns0:v>0</ns0:v>
      </ns0:c>
      <ns0:c r="P64" s="23" t="n">
        <ns0:f aca="false">N64-O64</ns0:f>
        <ns0:v>5897.64</ns0:v>
      </ns0:c>
      <ns0:c r="Q64" s="19" t="s">
        <ns0:v>50</ns0:v>
      </ns0:c>
      <ns0:c r="R64" s="19" t="s">
        <ns0:v>51</ns0:v>
      </ns0:c>
      <ns0:c r="S64" s="24"/>
      <ns0:c r="T64" s="25"/>
      <ns0:c r="U64" s="20" t="s">
        <ns0:v>339</ns0:v>
      </ns0:c>
    </ns0:row>
    <ns0:row r="65" customFormat="false" ht="45.75" hidden="false" customHeight="true" outlineLevel="0" collapsed="false">
      <ns0:c r="A65" s="17" t="s">
        <ns0:v>340</ns0:v>
      </ns0:c>
      <ns0:c r="B65" s="18" t="n">
        <ns0:v>46053</ns0:v>
      </ns0:c>
      <ns0:c r="C65" s="19" t="s">
        <ns0:v>333</ns0:v>
      </ns0:c>
      <ns0:c r="D65" s="19" t="s">
        <ns0:v>334</ns0:v>
      </ns0:c>
      <ns0:c r="E65" s="20" t="s">
        <ns0:v>341</ns0:v>
      </ns0:c>
      <ns0:c r="F65" s="19" t="s">
        <ns0:v>159</ns0:v>
      </ns0:c>
      <ns0:c r="G65" s="17" t="s">
        <ns0:v>14</ns0:v>
      </ns0:c>
      <ns0:c r="H65" s="17" t="n">
        <ns0:v>288</ns0:v>
      </ns0:c>
      <ns0:c r="I65" s="17"/>
      <ns0:c r="J65" s="19" t="s">
        <ns0:v>19</ns0:v>
      </ns0:c>
      <ns0:c r="K65" s="17" t="s">
        <ns0:v>49</ns0:v>
      </ns0:c>
      <ns0:c r="L65" s="21" t="n">
        <ns0:v>3360</ns0:v>
      </ns0:c>
      <ns0:c r="M65" s="21" t="n">
        <ns0:v>604.8</ns0:v>
      </ns0:c>
      <ns0:c r="N65" s="21" t="n">
        <ns0:v>3964.8</ns0:v>
      </ns0:c>
      <ns0:c r="O65" s="22" t="n">
        <ns0:v>0</ns0:v>
      </ns0:c>
      <ns0:c r="P65" s="23" t="n">
        <ns0:f aca="false">N65-O65</ns0:f>
        <ns0:v>3964.8</ns0:v>
      </ns0:c>
      <ns0:c r="Q65" s="19" t="s">
        <ns0:v>50</ns0:v>
      </ns0:c>
      <ns0:c r="R65" s="19" t="s">
        <ns0:v>51</ns0:v>
      </ns0:c>
      <ns0:c r="S65" s="24"/>
      <ns0:c r="T65" s="25"/>
      <ns0:c r="U65" s="20" t="s">
        <ns0:v>342</ns0:v>
      </ns0:c>
    </ns0:row>
    <ns0:row r="66" customFormat="false" ht="34.5" hidden="false" customHeight="true" outlineLevel="0" collapsed="false">
      <ns0:c r="A66" s="17" t="s">
        <ns0:v>343</ns0:v>
      </ns0:c>
      <ns0:c r="B66" s="18" t="n">
        <ns0:v>46055</ns0:v>
      </ns0:c>
      <ns0:c r="C66" s="19" t="s">
        <ns0:v>344</ns0:v>
      </ns0:c>
      <ns0:c r="D66" s="19" t="s">
        <ns0:v>345</ns0:v>
      </ns0:c>
      <ns0:c r="E66" s="20" t="s">
        <ns0:v>346</ns0:v>
      </ns0:c>
      <ns0:c r="F66" s="19" t="s">
        <ns0:v>347</ns0:v>
      </ns0:c>
      <ns0:c r="G66" s="17" t="s">
        <ns0:v>14</ns0:v>
      </ns0:c>
      <ns0:c r="H66" s="17" t="n">
        <ns0:v>290</ns0:v>
      </ns0:c>
      <ns0:c r="I66" s="17"/>
      <ns0:c r="J66" s="19" t="s">
        <ns0:v>15</ns0:v>
      </ns0:c>
      <ns0:c r="K66" s="17" t="s">
        <ns0:v>49</ns0:v>
      </ns0:c>
      <ns0:c r="L66" s="21" t="n">
        <ns0:v>27012.75</ns0:v>
      </ns0:c>
      <ns0:c r="M66" s="21" t="n">
        <ns0:v>4862.3</ns0:v>
      </ns0:c>
      <ns0:c r="N66" s="21" t="n">
        <ns0:v>31875.05</ns0:v>
      </ns0:c>
      <ns0:c r="O66" s="22" t="n">
        <ns0:v>0</ns0:v>
      </ns0:c>
      <ns0:c r="P66" s="23" t="n">
        <ns0:f aca="false">N66-O66</ns0:f>
        <ns0:v>31875.05</ns0:v>
      </ns0:c>
      <ns0:c r="Q66" s="19" t="s">
        <ns0:v>50</ns0:v>
      </ns0:c>
      <ns0:c r="R66" s="19" t="s">
        <ns0:v>51</ns0:v>
      </ns0:c>
      <ns0:c r="S66" s="24"/>
      <ns0:c r="T66" s="25"/>
      <ns0:c r="U66" s="20" t="s">
        <ns0:v>348</ns0:v>
      </ns0:c>
    </ns0:row>
    <ns0:row r="67" customFormat="false" ht="57" hidden="false" customHeight="true" outlineLevel="0" collapsed="false">
      <ns0:c r="A67" s="17" t="s">
        <ns0:v>349</ns0:v>
      </ns0:c>
      <ns0:c r="B67" s="18" t="n">
        <ns0:v>46055</ns0:v>
      </ns0:c>
      <ns0:c r="C67" s="19" t="s">
        <ns0:v>344</ns0:v>
      </ns0:c>
      <ns0:c r="D67" s="19" t="s">
        <ns0:v>345</ns0:v>
      </ns0:c>
      <ns0:c r="E67" s="20" t="s">
        <ns0:v>350</ns0:v>
      </ns0:c>
      <ns0:c r="F67" s="19" t="s">
        <ns0:v>159</ns0:v>
      </ns0:c>
      <ns0:c r="G67" s="17" t="s">
        <ns0:v>14</ns0:v>
      </ns0:c>
      <ns0:c r="H67" s="17" t="n">
        <ns0:v>291</ns0:v>
      </ns0:c>
      <ns0:c r="I67" s="17"/>
      <ns0:c r="J67" s="19" t="s">
        <ns0:v>19</ns0:v>
      </ns0:c>
      <ns0:c r="K67" s="17" t="s">
        <ns0:v>49</ns0:v>
      </ns0:c>
      <ns0:c r="L67" s="21" t="n">
        <ns0:v>9848.3</ns0:v>
      </ns0:c>
      <ns0:c r="M67" s="21" t="n">
        <ns0:v>1772.69</ns0:v>
      </ns0:c>
      <ns0:c r="N67" s="21" t="n">
        <ns0:v>11620.99</ns0:v>
      </ns0:c>
      <ns0:c r="O67" s="22" t="n">
        <ns0:v>0</ns0:v>
      </ns0:c>
      <ns0:c r="P67" s="23" t="n">
        <ns0:f aca="false">N67-O67</ns0:f>
        <ns0:v>11620.99</ns0:v>
      </ns0:c>
      <ns0:c r="Q67" s="19" t="s">
        <ns0:v>50</ns0:v>
      </ns0:c>
      <ns0:c r="R67" s="19" t="s">
        <ns0:v>51</ns0:v>
      </ns0:c>
      <ns0:c r="S67" s="24"/>
      <ns0:c r="T67" s="25"/>
      <ns0:c r="U67" s="20" t="s">
        <ns0:v>351</ns0:v>
      </ns0:c>
    </ns0:row>
    <ns0:row r="68" customFormat="false" ht="23.25" hidden="false" customHeight="true" outlineLevel="0" collapsed="false">
      <ns0:c r="A68" s="17" t="s">
        <ns0:v>352</ns0:v>
      </ns0:c>
      <ns0:c r="B68" s="18" t="n">
        <ns0:v>46056</ns0:v>
      </ns0:c>
      <ns0:c r="C68" s="19" t="s">
        <ns0:v>353</ns0:v>
      </ns0:c>
      <ns0:c r="D68" s="19" t="s">
        <ns0:v>69</ns0:v>
      </ns0:c>
      <ns0:c r="E68" s="20" t="s">
        <ns0:v>299</ns0:v>
      </ns0:c>
      <ns0:c r="F68" s="19" t="s">
        <ns0:v>159</ns0:v>
      </ns0:c>
      <ns0:c r="G68" s="17" t="s">
        <ns0:v>16</ns0:v>
      </ns0:c>
      <ns0:c r="H68" s="17"/>
      <ns0:c r="I68" s="17" t="n">
        <ns0:v>400213</ns0:v>
      </ns0:c>
      <ns0:c r="J68" s="19" t="s">
        <ns0:v>15</ns0:v>
      </ns0:c>
      <ns0:c r="K68" s="17" t="s">
        <ns0:v>64</ns0:v>
      </ns0:c>
      <ns0:c r="L68" s="21" t="n">
        <ns0:v>295</ns0:v>
      </ns0:c>
      <ns0:c r="M68" s="21" t="n">
        <ns0:v>53.1</ns0:v>
      </ns0:c>
      <ns0:c r="N68" s="21" t="n">
        <ns0:v>348.1</ns0:v>
      </ns0:c>
      <ns0:c r="O68" s="22" t="n">
        <ns0:v>0</ns0:v>
      </ns0:c>
      <ns0:c r="P68" s="23" t="n">
        <ns0:f aca="false">N68-O68</ns0:f>
        <ns0:v>348.1</ns0:v>
      </ns0:c>
      <ns0:c r="Q68" s="19" t="s">
        <ns0:v>65</ns0:v>
      </ns0:c>
      <ns0:c r="R68" s="19" t="s">
        <ns0:v>38</ns0:v>
      </ns0:c>
      <ns0:c r="S68" s="24"/>
      <ns0:c r="T68" s="25"/>
      <ns0:c r="U68" s="20" t="s">
        <ns0:v>354</ns0:v>
      </ns0:c>
    </ns0:row>
    <ns0:row r="69" customFormat="false" ht="34.5" hidden="false" customHeight="true" outlineLevel="0" collapsed="false">
      <ns0:c r="A69" s="17" t="s">
        <ns0:v>355</ns0:v>
      </ns0:c>
      <ns0:c r="B69" s="18" t="n">
        <ns0:v>46056</ns0:v>
      </ns0:c>
      <ns0:c r="C69" s="19" t="s">
        <ns0:v>130</ns0:v>
      </ns0:c>
      <ns0:c r="D69" s="19" t="s">
        <ns0:v>356</ns0:v>
      </ns0:c>
      <ns0:c r="E69" s="20" t="s">
        <ns0:v>357</ns0:v>
      </ns0:c>
      <ns0:c r="F69" s="19" t="s">
        <ns0:v>159</ns0:v>
      </ns0:c>
      <ns0:c r="G69" s="17" t="s">
        <ns0:v>18</ns0:v>
      </ns0:c>
      <ns0:c r="H69" s="17"/>
      <ns0:c r="I69" s="17" t="n">
        <ns0:v>1000286</ns0:v>
      </ns0:c>
      <ns0:c r="J69" s="19" t="s">
        <ns0:v>15</ns0:v>
      </ns0:c>
      <ns0:c r="K69" s="17" t="s">
        <ns0:v>64</ns0:v>
      </ns0:c>
      <ns0:c r="L69" s="21" t="n">
        <ns0:v>270</ns0:v>
      </ns0:c>
      <ns0:c r="M69" s="21" t="n">
        <ns0:v>48.6</ns0:v>
      </ns0:c>
      <ns0:c r="N69" s="21" t="n">
        <ns0:v>318.6</ns0:v>
      </ns0:c>
      <ns0:c r="O69" s="22" t="n">
        <ns0:v>0</ns0:v>
      </ns0:c>
      <ns0:c r="P69" s="23" t="n">
        <ns0:f aca="false">N69-O69</ns0:f>
        <ns0:v>318.6</ns0:v>
      </ns0:c>
      <ns0:c r="Q69" s="19" t="s">
        <ns0:v>65</ns0:v>
      </ns0:c>
      <ns0:c r="R69" s="19" t="s">
        <ns0:v>38</ns0:v>
      </ns0:c>
      <ns0:c r="S69" s="24"/>
      <ns0:c r="T69" s="25"/>
      <ns0:c r="U69" s="20" t="s">
        <ns0:v>358</ns0:v>
      </ns0:c>
    </ns0:row>
    <ns0:row r="70" customFormat="false" ht="57" hidden="false" customHeight="true" outlineLevel="0" collapsed="false">
      <ns0:c r="A70" s="17" t="s">
        <ns0:v>359</ns0:v>
      </ns0:c>
      <ns0:c r="B70" s="18" t="n">
        <ns0:v>46056</ns0:v>
      </ns0:c>
      <ns0:c r="C70" s="19" t="s">
        <ns0:v>139</ns0:v>
      </ns0:c>
      <ns0:c r="D70" s="19" t="s">
        <ns0:v>140</ns0:v>
      </ns0:c>
      <ns0:c r="E70" s="20" t="s">
        <ns0:v>360</ns0:v>
      </ns0:c>
      <ns0:c r="F70" s="19" t="s">
        <ns0:v>361</ns0:v>
      </ns0:c>
      <ns0:c r="G70" s="17" t="s">
        <ns0:v>14</ns0:v>
      </ns0:c>
      <ns0:c r="H70" s="17" t="n">
        <ns0:v>294</ns0:v>
      </ns0:c>
      <ns0:c r="I70" s="17"/>
      <ns0:c r="J70" s="19" t="s">
        <ns0:v>17</ns0:v>
      </ns0:c>
      <ns0:c r="K70" s="17" t="s">
        <ns0:v>49</ns0:v>
      </ns0:c>
      <ns0:c r="L70" s="21" t="n">
        <ns0:v>2310</ns0:v>
      </ns0:c>
      <ns0:c r="M70" s="21" t="n">
        <ns0:v>415.8</ns0:v>
      </ns0:c>
      <ns0:c r="N70" s="21" t="n">
        <ns0:v>2725.8</ns0:v>
      </ns0:c>
      <ns0:c r="O70" s="22" t="n">
        <ns0:v>0</ns0:v>
      </ns0:c>
      <ns0:c r="P70" s="23" t="n">
        <ns0:f aca="false">N70-O70</ns0:f>
        <ns0:v>2725.8</ns0:v>
      </ns0:c>
      <ns0:c r="Q70" s="19" t="s">
        <ns0:v>50</ns0:v>
      </ns0:c>
      <ns0:c r="R70" s="19" t="s">
        <ns0:v>51</ns0:v>
      </ns0:c>
      <ns0:c r="S70" s="24"/>
      <ns0:c r="T70" s="25"/>
      <ns0:c r="U70" s="20" t="s">
        <ns0:v>362</ns0:v>
      </ns0:c>
    </ns0:row>
    <ns0:row r="71" customFormat="false" ht="45.75" hidden="false" customHeight="true" outlineLevel="0" collapsed="false">
      <ns0:c r="A71" s="17" t="s">
        <ns0:v>363</ns0:v>
      </ns0:c>
      <ns0:c r="B71" s="18" t="n">
        <ns0:v>46056</ns0:v>
      </ns0:c>
      <ns0:c r="C71" s="19" t="s">
        <ns0:v>139</ns0:v>
      </ns0:c>
      <ns0:c r="D71" s="19" t="s">
        <ns0:v>140</ns0:v>
      </ns0:c>
      <ns0:c r="E71" s="20" t="s">
        <ns0:v>364</ns0:v>
      </ns0:c>
      <ns0:c r="F71" s="19" t="s">
        <ns0:v>365</ns0:v>
      </ns0:c>
      <ns0:c r="G71" s="17" t="s">
        <ns0:v>14</ns0:v>
      </ns0:c>
      <ns0:c r="H71" s="17" t="n">
        <ns0:v>295</ns0:v>
      </ns0:c>
      <ns0:c r="I71" s="17"/>
      <ns0:c r="J71" s="19" t="s">
        <ns0:v>17</ns0:v>
      </ns0:c>
      <ns0:c r="K71" s="17" t="s">
        <ns0:v>49</ns0:v>
      </ns0:c>
      <ns0:c r="L71" s="21" t="n">
        <ns0:v>1960</ns0:v>
      </ns0:c>
      <ns0:c r="M71" s="21" t="n">
        <ns0:v>352.8</ns0:v>
      </ns0:c>
      <ns0:c r="N71" s="21" t="n">
        <ns0:v>2312.8</ns0:v>
      </ns0:c>
      <ns0:c r="O71" s="22" t="n">
        <ns0:v>0</ns0:v>
      </ns0:c>
      <ns0:c r="P71" s="23" t="n">
        <ns0:f aca="false">N71-O71</ns0:f>
        <ns0:v>2312.8</ns0:v>
      </ns0:c>
      <ns0:c r="Q71" s="19" t="s">
        <ns0:v>50</ns0:v>
      </ns0:c>
      <ns0:c r="R71" s="19" t="s">
        <ns0:v>51</ns0:v>
      </ns0:c>
      <ns0:c r="S71" s="24"/>
      <ns0:c r="T71" s="25"/>
      <ns0:c r="U71" s="20" t="s">
        <ns0:v>366</ns0:v>
      </ns0:c>
    </ns0:row>
    <ns0:row r="72" customFormat="false" ht="57" hidden="false" customHeight="true" outlineLevel="0" collapsed="false">
      <ns0:c r="A72" s="17" t="s">
        <ns0:v>367</ns0:v>
      </ns0:c>
      <ns0:c r="B72" s="18" t="n">
        <ns0:v>46056</ns0:v>
      </ns0:c>
      <ns0:c r="C72" s="19" t="s">
        <ns0:v>139</ns0:v>
      </ns0:c>
      <ns0:c r="D72" s="19" t="s">
        <ns0:v>140</ns0:v>
      </ns0:c>
      <ns0:c r="E72" s="20" t="s">
        <ns0:v>368</ns0:v>
      </ns0:c>
      <ns0:c r="F72" s="19" t="s">
        <ns0:v>249</ns0:v>
      </ns0:c>
      <ns0:c r="G72" s="17" t="s">
        <ns0:v>14</ns0:v>
      </ns0:c>
      <ns0:c r="H72" s="17" t="n">
        <ns0:v>294</ns0:v>
      </ns0:c>
      <ns0:c r="I72" s="17"/>
      <ns0:c r="J72" s="19" t="s">
        <ns0:v>17</ns0:v>
      </ns0:c>
      <ns0:c r="K72" s="17" t="s">
        <ns0:v>49</ns0:v>
      </ns0:c>
      <ns0:c r="L72" s="21" t="n">
        <ns0:v>2170</ns0:v>
      </ns0:c>
      <ns0:c r="M72" s="21" t="n">
        <ns0:v>390.6</ns0:v>
      </ns0:c>
      <ns0:c r="N72" s="21" t="n">
        <ns0:v>2560.6</ns0:v>
      </ns0:c>
      <ns0:c r="O72" s="22" t="n">
        <ns0:v>0</ns0:v>
      </ns0:c>
      <ns0:c r="P72" s="23" t="n">
        <ns0:f aca="false">N72-O72</ns0:f>
        <ns0:v>2560.6</ns0:v>
      </ns0:c>
      <ns0:c r="Q72" s="19" t="s">
        <ns0:v>50</ns0:v>
      </ns0:c>
      <ns0:c r="R72" s="19" t="s">
        <ns0:v>51</ns0:v>
      </ns0:c>
      <ns0:c r="S72" s="24"/>
      <ns0:c r="T72" s="25"/>
      <ns0:c r="U72" s="20" t="s">
        <ns0:v>369</ns0:v>
      </ns0:c>
    </ns0:row>
    <ns0:row r="73" customFormat="false" ht="23.25" hidden="false" customHeight="true" outlineLevel="0" collapsed="false">
      <ns0:c r="A73" s="17" t="s">
        <ns0:v>370</ns0:v>
      </ns0:c>
      <ns0:c r="B73" s="18" t="n">
        <ns0:v>46056</ns0:v>
      </ns0:c>
      <ns0:c r="C73" s="19" t="s">
        <ns0:v>212</ns0:v>
      </ns0:c>
      <ns0:c r="D73" s="19" t="s">
        <ns0:v>213</ns0:v>
      </ns0:c>
      <ns0:c r="E73" s="20" t="s">
        <ns0:v>371</ns0:v>
      </ns0:c>
      <ns0:c r="F73" s="19" t="s">
        <ns0:v>372</ns0:v>
      </ns0:c>
      <ns0:c r="G73" s="17" t="s">
        <ns0:v>14</ns0:v>
      </ns0:c>
      <ns0:c r="H73" s="17" t="n">
        <ns0:v>296</ns0:v>
      </ns0:c>
      <ns0:c r="I73" s="17"/>
      <ns0:c r="J73" s="19" t="s">
        <ns0:v>17</ns0:v>
      </ns0:c>
      <ns0:c r="K73" s="17" t="s">
        <ns0:v>49</ns0:v>
      </ns0:c>
      <ns0:c r="L73" s="21" t="n">
        <ns0:v>1796</ns0:v>
      </ns0:c>
      <ns0:c r="M73" s="21" t="n">
        <ns0:v>323.28</ns0:v>
      </ns0:c>
      <ns0:c r="N73" s="21" t="n">
        <ns0:v>2119.28</ns0:v>
      </ns0:c>
      <ns0:c r="O73" s="22" t="n">
        <ns0:v>0</ns0:v>
      </ns0:c>
      <ns0:c r="P73" s="23" t="n">
        <ns0:f aca="false">N73-O73</ns0:f>
        <ns0:v>2119.28</ns0:v>
      </ns0:c>
      <ns0:c r="Q73" s="19" t="s">
        <ns0:v>50</ns0:v>
      </ns0:c>
      <ns0:c r="R73" s="19" t="s">
        <ns0:v>51</ns0:v>
      </ns0:c>
      <ns0:c r="S73" s="24"/>
      <ns0:c r="T73" s="25"/>
      <ns0:c r="U73" s="20" t="s">
        <ns0:v>373</ns0:v>
      </ns0:c>
    </ns0:row>
    <ns0:row r="74" customFormat="false" ht="23.25" hidden="false" customHeight="true" outlineLevel="0" collapsed="false">
      <ns0:c r="A74" s="17" t="s">
        <ns0:v>374</ns0:v>
      </ns0:c>
      <ns0:c r="B74" s="18" t="n">
        <ns0:v>46057</ns0:v>
      </ns0:c>
      <ns0:c r="C74" s="19" t="s">
        <ns0:v>375</ns0:v>
      </ns0:c>
      <ns0:c r="D74" s="19" t="s">
        <ns0:v>376</ns0:v>
      </ns0:c>
      <ns0:c r="E74" s="20" t="s">
        <ns0:v>377</ns0:v>
      </ns0:c>
      <ns0:c r="F74" s="19" t="s">
        <ns0:v>378</ns0:v>
      </ns0:c>
      <ns0:c r="G74" s="17" t="s">
        <ns0:v>14</ns0:v>
      </ns0:c>
      <ns0:c r="H74" s="17" t="n">
        <ns0:v>297</ns0:v>
      </ns0:c>
      <ns0:c r="I74" s="17"/>
      <ns0:c r="J74" s="19" t="s">
        <ns0:v>17</ns0:v>
      </ns0:c>
      <ns0:c r="K74" s="17" t="s">
        <ns0:v>49</ns0:v>
      </ns0:c>
      <ns0:c r="L74" s="21" t="n">
        <ns0:v>615</ns0:v>
      </ns0:c>
      <ns0:c r="M74" s="21" t="n">
        <ns0:v>110.7</ns0:v>
      </ns0:c>
      <ns0:c r="N74" s="21" t="n">
        <ns0:v>725.7</ns0:v>
      </ns0:c>
      <ns0:c r="O74" s="22" t="n">
        <ns0:v>0</ns0:v>
      </ns0:c>
      <ns0:c r="P74" s="23" t="n">
        <ns0:f aca="false">N74-O74</ns0:f>
        <ns0:v>725.7</ns0:v>
      </ns0:c>
      <ns0:c r="Q74" s="19" t="s">
        <ns0:v>50</ns0:v>
      </ns0:c>
      <ns0:c r="R74" s="19" t="s">
        <ns0:v>51</ns0:v>
      </ns0:c>
      <ns0:c r="S74" s="24"/>
      <ns0:c r="T74" s="25"/>
      <ns0:c r="U74" s="20" t="s">
        <ns0:v>379</ns0:v>
      </ns0:c>
    </ns0:row>
    <ns0:row r="75" customFormat="false" ht="23.25" hidden="false" customHeight="true" outlineLevel="0" collapsed="false">
      <ns0:c r="A75" s="17" t="s">
        <ns0:v>380</ns0:v>
      </ns0:c>
      <ns0:c r="B75" s="18" t="n">
        <ns0:v>46057</ns0:v>
      </ns0:c>
      <ns0:c r="C75" s="19" t="s">
        <ns0:v>381</ns0:v>
      </ns0:c>
      <ns0:c r="D75" s="19" t="s">
        <ns0:v>382</ns0:v>
      </ns0:c>
      <ns0:c r="E75" s="20" t="s">
        <ns0:v>383</ns0:v>
      </ns0:c>
      <ns0:c r="F75" s="19" t="s">
        <ns0:v>361</ns0:v>
      </ns0:c>
      <ns0:c r="G75" s="17" t="s">
        <ns0:v>14</ns0:v>
      </ns0:c>
      <ns0:c r="H75" s="17" t="n">
        <ns0:v>298</ns0:v>
      </ns0:c>
      <ns0:c r="I75" s="17"/>
      <ns0:c r="J75" s="19" t="s">
        <ns0:v>17</ns0:v>
      </ns0:c>
      <ns0:c r="K75" s="17" t="s">
        <ns0:v>49</ns0:v>
      </ns0:c>
      <ns0:c r="L75" s="21" t="n">
        <ns0:v>4277</ns0:v>
      </ns0:c>
      <ns0:c r="M75" s="21" t="n">
        <ns0:v>769.86</ns0:v>
      </ns0:c>
      <ns0:c r="N75" s="21" t="n">
        <ns0:v>5046.86</ns0:v>
      </ns0:c>
      <ns0:c r="O75" s="22" t="n">
        <ns0:v>0</ns0:v>
      </ns0:c>
      <ns0:c r="P75" s="23" t="n">
        <ns0:f aca="false">N75-O75</ns0:f>
        <ns0:v>5046.86</ns0:v>
      </ns0:c>
      <ns0:c r="Q75" s="19" t="s">
        <ns0:v>50</ns0:v>
      </ns0:c>
      <ns0:c r="R75" s="19" t="s">
        <ns0:v>51</ns0:v>
      </ns0:c>
      <ns0:c r="S75" s="24"/>
      <ns0:c r="T75" s="25"/>
      <ns0:c r="U75" s="20" t="s">
        <ns0:v>384</ns0:v>
      </ns0:c>
    </ns0:row>
    <ns0:row r="76" customFormat="false" ht="34.5" hidden="false" customHeight="true" outlineLevel="0" collapsed="false">
      <ns0:c r="A76" s="17" t="s">
        <ns0:v>385</ns0:v>
      </ns0:c>
      <ns0:c r="B76" s="18" t="n">
        <ns0:v>46057</ns0:v>
      </ns0:c>
      <ns0:c r="C76" s="19" t="s">
        <ns0:v>212</ns0:v>
      </ns0:c>
      <ns0:c r="D76" s="19" t="s">
        <ns0:v>213</ns0:v>
      </ns0:c>
      <ns0:c r="E76" s="20" t="s">
        <ns0:v>386</ns0:v>
      </ns0:c>
      <ns0:c r="F76" s="19" t="s">
        <ns0:v>387</ns0:v>
      </ns0:c>
      <ns0:c r="G76" s="17" t="s">
        <ns0:v>14</ns0:v>
      </ns0:c>
      <ns0:c r="H76" s="17" t="n">
        <ns0:v>300</ns0:v>
      </ns0:c>
      <ns0:c r="I76" s="17"/>
      <ns0:c r="J76" s="19" t="s">
        <ns0:v>17</ns0:v>
      </ns0:c>
      <ns0:c r="K76" s="17" t="s">
        <ns0:v>49</ns0:v>
      </ns0:c>
      <ns0:c r="L76" s="21" t="n">
        <ns0:v>35967</ns0:v>
      </ns0:c>
      <ns0:c r="M76" s="21" t="n">
        <ns0:v>6474.06</ns0:v>
      </ns0:c>
      <ns0:c r="N76" s="21" t="n">
        <ns0:v>42441.06</ns0:v>
      </ns0:c>
      <ns0:c r="O76" s="22" t="n">
        <ns0:v>0</ns0:v>
      </ns0:c>
      <ns0:c r="P76" s="23" t="n">
        <ns0:f aca="false">N76-O76</ns0:f>
        <ns0:v>42441.06</ns0:v>
      </ns0:c>
      <ns0:c r="Q76" s="19" t="s">
        <ns0:v>50</ns0:v>
      </ns0:c>
      <ns0:c r="R76" s="19" t="s">
        <ns0:v>51</ns0:v>
      </ns0:c>
      <ns0:c r="S76" s="24"/>
      <ns0:c r="T76" s="25"/>
      <ns0:c r="U76" s="20" t="s">
        <ns0:v>388</ns0:v>
      </ns0:c>
    </ns0:row>
    <ns0:row r="77" customFormat="false" ht="15" hidden="false" customHeight="true" outlineLevel="0" collapsed="false">
      <ns0:c r="A77" s="26" t="s">
        <ns0:v>389</ns0:v>
      </ns0:c>
      <ns0:c r="B77" s="27" t="n">
        <ns0:v>46059</ns0:v>
      </ns0:c>
      <ns0:c r="C77" s="28" t="s">
        <ns0:v>390</ns0:v>
      </ns0:c>
      <ns0:c r="D77" s="28" t="s">
        <ns0:v>391</ns0:v>
      </ns0:c>
      <ns0:c r="E77" s="29" t="s">
        <ns0:v>392</ns0:v>
      </ns0:c>
      <ns0:c r="F77" s="28" t="s">
        <ns0:v>159</ns0:v>
      </ns0:c>
      <ns0:c r="G77" s="26" t="s">
        <ns0:v>16</ns0:v>
      </ns0:c>
      <ns0:c r="H77" s="26"/>
      <ns0:c r="I77" s="26" t="n">
        <ns0:v>400214</ns0:v>
      </ns0:c>
      <ns0:c r="J77" s="28" t="s">
        <ns0:v>15</ns0:v>
      </ns0:c>
      <ns0:c r="K77" s="26" t="s">
        <ns0:v>64</ns0:v>
      </ns0:c>
      <ns0:c r="L77" s="30" t="n">
        <ns0:v>8474.58</ns0:v>
      </ns0:c>
      <ns0:c r="M77" s="30" t="n">
        <ns0:v>1525.42</ns0:v>
      </ns0:c>
      <ns0:c r="N77" s="30" t="n">
        <ns0:v>10000</ns0:v>
      </ns0:c>
      <ns0:c r="O77" s="31" t="n">
        <ns0:v>0</ns0:v>
      </ns0:c>
      <ns0:c r="P77" s="32" t="n">
        <ns0:f aca="false">N77-O77</ns0:f>
        <ns0:v>10000</ns0:v>
      </ns0:c>
      <ns0:c r="Q77" s="28" t="s">
        <ns0:v>65</ns0:v>
      </ns0:c>
      <ns0:c r="R77" s="28" t="s">
        <ns0:v>38</ns0:v>
      </ns0:c>
      <ns0:c r="S77" s="33"/>
      <ns0:c r="T77" s="34"/>
      <ns0:c r="U77" s="29" t="s">
        <ns0:v>393</ns0:v>
      </ns0:c>
    </ns0:row>
    <ns0:row r="78" customFormat="false" ht="15" hidden="false" customHeight="true" outlineLevel="0" collapsed="false">
      <ns0:c r="A78" s="26" t="s">
        <ns0:v>394</ns0:v>
      </ns0:c>
      <ns0:c r="B78" s="27" t="n">
        <ns0:v>46060</ns0:v>
      </ns0:c>
      <ns0:c r="C78" s="28" t="s">
        <ns0:v>212</ns0:v>
      </ns0:c>
      <ns0:c r="D78" s="28" t="s">
        <ns0:v>213</ns0:v>
      </ns0:c>
      <ns0:c r="E78" s="29" t="s">
        <ns0:v>395</ns0:v>
      </ns0:c>
      <ns0:c r="F78" s="28" t="s">
        <ns0:v>396</ns0:v>
      </ns0:c>
      <ns0:c r="G78" s="26" t="s">
        <ns0:v>14</ns0:v>
      </ns0:c>
      <ns0:c r="H78" s="26" t="n">
        <ns0:v>301</ns0:v>
      </ns0:c>
      <ns0:c r="I78" s="26"/>
      <ns0:c r="J78" s="28" t="s">
        <ns0:v>17</ns0:v>
      </ns0:c>
      <ns0:c r="K78" s="26" t="s">
        <ns0:v>49</ns0:v>
      </ns0:c>
      <ns0:c r="L78" s="30" t="n">
        <ns0:v>3405</ns0:v>
      </ns0:c>
      <ns0:c r="M78" s="30" t="n">
        <ns0:v>612.9</ns0:v>
      </ns0:c>
      <ns0:c r="N78" s="30" t="n">
        <ns0:v>4017.9</ns0:v>
      </ns0:c>
      <ns0:c r="O78" s="31" t="n">
        <ns0:v>0</ns0:v>
      </ns0:c>
      <ns0:c r="P78" s="32" t="n">
        <ns0:f aca="false">N78-O78</ns0:f>
        <ns0:v>4017.9</ns0:v>
      </ns0:c>
      <ns0:c r="Q78" s="28" t="s">
        <ns0:v>50</ns0:v>
      </ns0:c>
      <ns0:c r="R78" s="28" t="s">
        <ns0:v>51</ns0:v>
      </ns0:c>
      <ns0:c r="S78" s="33"/>
      <ns0:c r="T78" s="34"/>
      <ns0:c r="U78" s="29" t="s">
        <ns0:v>397</ns0:v>
      </ns0:c>
    </ns0:row>
    <ns0:row r="79" customFormat="false" ht="15" hidden="false" customHeight="true" outlineLevel="0" collapsed="false">
      <ns0:c r="A79" s="26" t="s">
        <ns0:v>398</ns0:v>
      </ns0:c>
      <ns0:c r="B79" s="27">
        <ns0:v>46065</ns0:v>
      </ns0:c>
      <ns0:c r="C79" s="28" t="s">
        <ns0:v>312</ns0:v>
      </ns0:c>
      <ns0:c r="D79" s="28" t="s">
        <ns0:v>851</ns0:v>
      </ns0:c>
      <ns0:c r="E79" s="29" t="s">
        <ns0:v>852</ns0:v>
      </ns0:c>
      <ns0:c r="F79" s="28" t="s">
        <ns0:v>292</ns0:v>
      </ns0:c>
      <ns0:c r="G79" s="26" t="s">
        <ns0:v>18</ns0:v>
      </ns0:c>
      <ns0:c r="H79" s="26">
        <ns0:v>303</ns0:v>
      </ns0:c>
      <ns0:c r="I79" s="26">
        <ns0:v>1000290</ns0:v>
      </ns0:c>
      <ns0:c r="J79" s="28" t="s">
        <ns0:v>17</ns0:v>
      </ns0:c>
      <ns0:c r="K79" s="26" t="s">
        <ns0:v>64</ns0:v>
      </ns0:c>
      <ns0:c r="L79" s="30">
        <ns0:v>652.5</ns0:v>
      </ns0:c>
      <ns0:c r="M79" s="30">
        <ns0:v>117.45</ns0:v>
      </ns0:c>
      <ns0:c r="N79" s="30">
        <ns0:v>769.95</ns0:v>
      </ns0:c>
      <ns0:c r="O79" s="31">
        <ns0:v>0</ns0:v>
      </ns0:c>
      <ns0:c r="P79" s="32">
        <ns0:f>N79-O79</ns0:f>
      </ns0:c>
      <ns0:c r="Q79" s="28" t="s">
        <ns0:v>853</ns0:v>
      </ns0:c>
      <ns0:c r="R79" s="28" t="s">
        <ns0:v>854</ns0:v>
      </ns0:c>
      <ns0:c r="U79" s="29" t="s">
        <ns0:v>855</ns0:v>
      </ns0:c>
    </ns0:row>
    <ns0:row r="80" customFormat="false" ht="15" hidden="false" customHeight="true" outlineLevel="0" collapsed="false">
      <ns0:c r="A80" s="26" t="s">
        <ns0:v>402</ns0:v>
      </ns0:c>
      <ns0:c r="B80" s="27" t="n">
        <ns0:v>46060</ns0:v>
      </ns0:c>
      <ns0:c r="C80" s="28" t="s">
        <ns0:v>110</ns0:v>
      </ns0:c>
      <ns0:c r="D80" s="28" t="s">
        <ns0:v>206</ns0:v>
      </ns0:c>
      <ns0:c r="E80" s="29" t="s">
        <ns0:v>403</ns0:v>
      </ns0:c>
      <ns0:c r="F80" s="28" t="s">
        <ns0:v>404</ns0:v>
      </ns0:c>
      <ns0:c r="G80" s="26" t="s">
        <ns0:v>18</ns0:v>
      </ns0:c>
      <ns0:c r="H80" s="26" t="n">
        <ns0:v>302</ns0:v>
      </ns0:c>
      <ns0:c r="I80" s="26" t="s">
        <ns0:v>1046</ns0:v>
      </ns0:c>
      <ns0:c r="J80" s="28" t="s">
        <ns0:v>15</ns0:v>
      </ns0:c>
      <ns0:c r="K80" s="26" t="s">
        <ns0:v>64</ns0:v>
      </ns0:c>
      <ns0:c r="L80" s="30" t="n">
        <ns0:v>3631.66</ns0:v>
      </ns0:c>
      <ns0:c r="M80" s="30" t="n">
        <ns0:v>653.69</ns0:v>
      </ns0:c>
      <ns0:c r="N80" s="30" t="n">
        <ns0:v>4285.35</ns0:v>
      </ns0:c>
      <ns0:c r="O80" s="31" t="n">
        <ns0:v>0</ns0:v>
      </ns0:c>
      <ns0:c r="P80" s="32" t="n">
        <ns0:f aca="false">N80-O80</ns0:f>
        <ns0:v>4285.35</ns0:v>
      </ns0:c>
      <ns0:c r="Q80" s="28" t="s">
        <ns0:v>65</ns0:v>
      </ns0:c>
      <ns0:c r="R80" s="28" t="s">
        <ns0:v>854</ns0:v>
      </ns0:c>
      <ns0:c r="S80" s="33"/>
      <ns0:c r="T80" s="34"/>
      <ns0:c r="U80" s="29" t="s">
        <ns0:v>1047</ns0:v>
      </ns0:c>
    </ns0:row>
    <ns0:row r="81" customFormat="false" ht="15" hidden="false" customHeight="true" outlineLevel="0" collapsed="false">
      <ns0:c r="A81" s="26" t="s">
        <ns0:v>406</ns0:v>
      </ns0:c>
      <ns0:c r="B81" s="27" t="n">
        <ns0:v>46060</ns0:v>
      </ns0:c>
      <ns0:c r="C81" s="28" t="s">
        <ns0:v>312</ns0:v>
      </ns0:c>
      <ns0:c r="D81" s="28" t="s">
        <ns0:v>407</ns0:v>
      </ns0:c>
      <ns0:c r="E81" s="29" t="s">
        <ns0:v>408</ns0:v>
      </ns0:c>
      <ns0:c r="F81" s="28" t="s">
        <ns0:v>409</ns0:v>
      </ns0:c>
      <ns0:c r="G81" s="26" t="s">
        <ns0:v>14</ns0:v>
      </ns0:c>
      <ns0:c r="H81" s="26" t="n">
        <ns0:v>304</ns0:v>
      </ns0:c>
      <ns0:c r="I81" s="26"/>
      <ns0:c r="J81" s="28" t="s">
        <ns0:v>17</ns0:v>
      </ns0:c>
      <ns0:c r="K81" s="26" t="s">
        <ns0:v>49</ns0:v>
      </ns0:c>
      <ns0:c r="L81" s="30" t="n">
        <ns0:v>4595.55</ns0:v>
      </ns0:c>
      <ns0:c r="M81" s="30" t="n">
        <ns0:v>827.2</ns0:v>
      </ns0:c>
      <ns0:c r="N81" s="30" t="n">
        <ns0:v>5422.75</ns0:v>
      </ns0:c>
      <ns0:c r="O81" s="31" t="n">
        <ns0:v>0</ns0:v>
      </ns0:c>
      <ns0:c r="P81" s="32" t="n">
        <ns0:f aca="false">N81-O81</ns0:f>
        <ns0:v>5422.75</ns0:v>
      </ns0:c>
      <ns0:c r="Q81" s="28" t="s">
        <ns0:v>50</ns0:v>
      </ns0:c>
      <ns0:c r="R81" s="28" t="s">
        <ns0:v>51</ns0:v>
      </ns0:c>
      <ns0:c r="S81" s="33"/>
      <ns0:c r="T81" s="34"/>
      <ns0:c r="U81" s="29" t="s">
        <ns0:v>410</ns0:v>
      </ns0:c>
    </ns0:row>
    <ns0:row r="82" customFormat="false" ht="15" hidden="false" customHeight="true" outlineLevel="0" collapsed="false">
      <ns0:c r="A82" s="26" t="s">
        <ns0:v>411</ns0:v>
      </ns0:c>
      <ns0:c r="B82" s="27" t="n">
        <ns0:v>46055</ns0:v>
      </ns0:c>
      <ns0:c r="C82" s="28" t="s">
        <ns0:v>412</ns0:v>
      </ns0:c>
      <ns0:c r="D82" s="28" t="s">
        <ns0:v>247</ns0:v>
      </ns0:c>
      <ns0:c r="E82" s="29" t="s">
        <ns0:v>413</ns0:v>
      </ns0:c>
      <ns0:c r="F82" s="28" t="s">
        <ns0:v>414</ns0:v>
      </ns0:c>
      <ns0:c r="G82" s="26" t="s">
        <ns0:v>14</ns0:v>
      </ns0:c>
      <ns0:c r="H82" s="26" t="n">
        <ns0:v>292</ns0:v>
      </ns0:c>
      <ns0:c r="I82" s="26"/>
      <ns0:c r="J82" s="28" t="s">
        <ns0:v>17</ns0:v>
      </ns0:c>
      <ns0:c r="K82" s="26" t="s">
        <ns0:v>49</ns0:v>
      </ns0:c>
      <ns0:c r="L82" s="30" t="n">
        <ns0:v>6059</ns0:v>
      </ns0:c>
      <ns0:c r="M82" s="30" t="n">
        <ns0:v>1090.62</ns0:v>
      </ns0:c>
      <ns0:c r="N82" s="30" t="n">
        <ns0:v>7149.62</ns0:v>
      </ns0:c>
      <ns0:c r="O82" s="31" t="n">
        <ns0:v>0</ns0:v>
      </ns0:c>
      <ns0:c r="P82" s="32" t="n">
        <ns0:f aca="false">N82-O82</ns0:f>
        <ns0:v>7149.62</ns0:v>
      </ns0:c>
      <ns0:c r="Q82" s="28" t="s">
        <ns0:v>50</ns0:v>
      </ns0:c>
      <ns0:c r="R82" s="28" t="s">
        <ns0:v>51</ns0:v>
      </ns0:c>
      <ns0:c r="S82" s="33"/>
      <ns0:c r="T82" s="34"/>
      <ns0:c r="U82" s="29" t="s">
        <ns0:v>415</ns0:v>
      </ns0:c>
    </ns0:row>
    <ns0:row r="83" customFormat="false" ht="15" hidden="false" customHeight="true" outlineLevel="0" collapsed="false">
      <ns0:c r="A83" s="26" t="s">
        <ns0:v>416</ns0:v>
      </ns0:c>
      <ns0:c r="B83" s="27" t="n">
        <ns0:v>46065</ns0:v>
      </ns0:c>
      <ns0:c r="C83" s="28" t="s">
        <ns0:v>417</ns0:v>
      </ns0:c>
      <ns0:c r="D83" s="28" t="s">
        <ns0:v>418</ns0:v>
      </ns0:c>
      <ns0:c r="E83" s="29" t="s">
        <ns0:v>419</ns0:v>
      </ns0:c>
      <ns0:c r="F83" s="28" t="s">
        <ns0:v>420</ns0:v>
      </ns0:c>
      <ns0:c r="G83" s="26" t="s">
        <ns0:v>14</ns0:v>
      </ns0:c>
      <ns0:c r="H83" s="26" t="n">
        <ns0:v>305</ns0:v>
      </ns0:c>
      <ns0:c r="I83" s="26"/>
      <ns0:c r="J83" s="28" t="s">
        <ns0:v>17</ns0:v>
      </ns0:c>
      <ns0:c r="K83" s="26" t="s">
        <ns0:v>49</ns0:v>
      </ns0:c>
      <ns0:c r="L83" s="30" t="n">
        <ns0:v>6270</ns0:v>
      </ns0:c>
      <ns0:c r="M83" s="30" t="n">
        <ns0:v>1128.6</ns0:v>
      </ns0:c>
      <ns0:c r="N83" s="30" t="n">
        <ns0:v>7398.6</ns0:v>
      </ns0:c>
      <ns0:c r="O83" s="31" t="n">
        <ns0:v>0</ns0:v>
      </ns0:c>
      <ns0:c r="P83" s="32" t="n">
        <ns0:f aca="false">N83-O83</ns0:f>
        <ns0:v>7398.6</ns0:v>
      </ns0:c>
      <ns0:c r="Q83" s="28" t="s">
        <ns0:v>50</ns0:v>
      </ns0:c>
      <ns0:c r="R83" s="28" t="s">
        <ns0:v>51</ns0:v>
      </ns0:c>
      <ns0:c r="S83" s="33"/>
      <ns0:c r="T83" s="34"/>
      <ns0:c r="U83" s="29" t="s">
        <ns0:v>421</ns0:v>
      </ns0:c>
    </ns0:row>
    <ns0:row r="84" customFormat="false" ht="15" hidden="false" customHeight="true" outlineLevel="0" collapsed="false">
      <ns0:c r="A84" s="26" t="s">
        <ns0:v>422</ns0:v>
      </ns0:c>
      <ns0:c r="B84" s="27">
        <ns0:v>46067</ns0:v>
      </ns0:c>
      <ns0:c r="C84" s="28" t="s">
        <ns0:v>423</ns0:v>
      </ns0:c>
      <ns0:c r="D84" s="28" t="s">
        <ns0:v>424</ns0:v>
      </ns0:c>
      <ns0:c r="E84" s="29" t="s">
        <ns0:v>856</ns0:v>
      </ns0:c>
      <ns0:c r="F84" s="28" t="s">
        <ns0:v>89</ns0:v>
      </ns0:c>
      <ns0:c r="G84" s="26" t="s">
        <ns0:v>18</ns0:v>
      </ns0:c>
      <ns0:c r="H84" s="26">
        <ns0:v>306</ns0:v>
      </ns0:c>
      <ns0:c r="I84" s="26">
        <ns0:v>1000296</ns0:v>
      </ns0:c>
      <ns0:c r="J84" s="28" t="s">
        <ns0:v>17</ns0:v>
      </ns0:c>
      <ns0:c r="K84" s="26" t="s">
        <ns0:v>64</ns0:v>
      </ns0:c>
      <ns0:c r="L84" s="30">
        <ns0:v>7794.0</ns0:v>
      </ns0:c>
      <ns0:c r="M84" s="30">
        <ns0:v>1402.92</ns0:v>
      </ns0:c>
      <ns0:c r="N84" s="30">
        <ns0:v>9196.92</ns0:v>
      </ns0:c>
      <ns0:c r="O84" s="31">
        <ns0:v>3678.76</ns0:v>
      </ns0:c>
      <ns0:c r="P84" s="32">
        <ns0:f>N84-O84</ns0:f>
      </ns0:c>
      <ns0:c r="Q84" s="28" t="s">
        <ns0:v>853</ns0:v>
      </ns0:c>
      <ns0:c r="R84" s="28" t="s">
        <ns0:v>209</ns0:v>
      </ns0:c>
      <ns0:c r="U84" s="29" t="s">
        <ns0:v>857</ns0:v>
      </ns0:c>
    </ns0:row>
    <ns0:row r="85" customFormat="false" ht="15" hidden="false" customHeight="true" outlineLevel="0" collapsed="false">
      <ns0:c r="A85" s="26" t="s">
        <ns0:v>427</ns0:v>
      </ns0:c>
      <ns0:c r="B85" s="27" t="n">
        <ns0:v>46063</ns0:v>
      </ns0:c>
      <ns0:c r="C85" s="28" t="s">
        <ns0:v>428</ns0:v>
      </ns0:c>
      <ns0:c r="D85" s="28" t="s">
        <ns0:v>429</ns0:v>
      </ns0:c>
      <ns0:c r="E85" s="29" t="s">
        <ns0:v>430</ns0:v>
      </ns0:c>
      <ns0:c r="F85" s="28" t="s">
        <ns0:v>159</ns0:v>
      </ns0:c>
      <ns0:c r="G85" s="26" t="s">
        <ns0:v>18</ns0:v>
      </ns0:c>
      <ns0:c r="H85" s="26"/>
      <ns0:c r="I85" s="26" t="n">
        <ns0:v>1000289</ns0:v>
      </ns0:c>
      <ns0:c r="J85" s="28" t="s">
        <ns0:v>17</ns0:v>
      </ns0:c>
      <ns0:c r="K85" s="26" t="s">
        <ns0:v>64</ns0:v>
      </ns0:c>
      <ns0:c r="L85" s="30" t="n">
        <ns0:v>360</ns0:v>
      </ns0:c>
      <ns0:c r="M85" s="30" t="n">
        <ns0:v>64.8</ns0:v>
      </ns0:c>
      <ns0:c r="N85" s="30" t="n">
        <ns0:v>424.8</ns0:v>
      </ns0:c>
      <ns0:c r="O85" s="31" t="n">
        <ns0:v>0</ns0:v>
      </ns0:c>
      <ns0:c r="P85" s="32" t="n">
        <ns0:f aca="false">N85-O85</ns0:f>
        <ns0:v>424.8</ns0:v>
      </ns0:c>
      <ns0:c r="Q85" s="28" t="s">
        <ns0:v>96</ns0:v>
      </ns0:c>
      <ns0:c r="R85" s="28" t="s">
        <ns0:v>38</ns0:v>
      </ns0:c>
      <ns0:c r="S85" s="33"/>
      <ns0:c r="T85" s="34"/>
      <ns0:c r="U85" s="29" t="s">
        <ns0:v>431</ns0:v>
      </ns0:c>
    </ns0:row>
    <ns0:row r="86" customFormat="false" ht="15" hidden="false" customHeight="true" outlineLevel="0" collapsed="false">
      <ns0:c r="A86" s="26" t="s">
        <ns0:v>432</ns0:v>
      </ns0:c>
      <ns0:c r="B86" s="27" t="n">
        <ns0:v>46060</ns0:v>
      </ns0:c>
      <ns0:c r="C86" s="28" t="s">
        <ns0:v>433</ns0:v>
      </ns0:c>
      <ns0:c r="D86" s="28" t="s">
        <ns0:v>434</ns0:v>
      </ns0:c>
      <ns0:c r="E86" s="29" t="s">
        <ns0:v>435</ns0:v>
      </ns0:c>
      <ns0:c r="F86" s="28" t="s">
        <ns0:v>159</ns0:v>
      </ns0:c>
      <ns0:c r="G86" s="26" t="s">
        <ns0:v>18</ns0:v>
      </ns0:c>
      <ns0:c r="H86" s="26" t="n">
        <ns0:v>289</ns0:v>
      </ns0:c>
      <ns0:c r="I86" s="26" t="n">
        <ns0:v>1000287</ns0:v>
      </ns0:c>
      <ns0:c r="J86" s="28" t="s">
        <ns0:v>15</ns0:v>
      </ns0:c>
      <ns0:c r="K86" s="26" t="s">
        <ns0:v>64</ns0:v>
      </ns0:c>
      <ns0:c r="L86" s="30" t="n">
        <ns0:v>10090.5</ns0:v>
      </ns0:c>
      <ns0:c r="M86" s="30" t="n">
        <ns0:v>1816.29</ns0:v>
      </ns0:c>
      <ns0:c r="N86" s="30" t="n">
        <ns0:v>11906.79</ns0:v>
      </ns0:c>
      <ns0:c r="O86" s="31" t="n">
        <ns0:v>4762.71</ns0:v>
      </ns0:c>
      <ns0:c r="P86" s="32" t="n">
        <ns0:f aca="false">N86-O86</ns0:f>
        <ns0:v>7144.08</ns0:v>
      </ns0:c>
      <ns0:c r="Q86" s="28" t="s">
        <ns0:v>65</ns0:v>
      </ns0:c>
      <ns0:c r="R86" s="28" t="s">
        <ns0:v>209</ns0:v>
      </ns0:c>
      <ns0:c r="S86" s="33"/>
      <ns0:c r="T86" s="34"/>
      <ns0:c r="U86" s="29" t="s">
        <ns0:v>436</ns0:v>
      </ns0:c>
    </ns0:row>
    <ns0:row r="87" customFormat="false" ht="15" hidden="false" customHeight="true" outlineLevel="0" collapsed="false">
      <ns0:c r="A87" s="26" t="s">
        <ns0:v>437</ns0:v>
      </ns0:c>
      <ns0:c r="B87" s="27" t="n">
        <ns0:v>46066</ns0:v>
      </ns0:c>
      <ns0:c r="C87" s="28" t="s">
        <ns0:v>438</ns0:v>
      </ns0:c>
      <ns0:c r="D87" s="28" t="s">
        <ns0:v>439</ns0:v>
      </ns0:c>
      <ns0:c r="E87" s="29" t="s">
        <ns0:v>440</ns0:v>
      </ns0:c>
      <ns0:c r="F87" s="28" t="s">
        <ns0:v>441</ns0:v>
      </ns0:c>
      <ns0:c r="G87" s="26" t="s">
        <ns0:v>18</ns0:v>
      </ns0:c>
      <ns0:c r="H87" s="26"/>
      <ns0:c r="I87" s="26" t="n">
        <ns0:v>1000293</ns0:v>
      </ns0:c>
      <ns0:c r="J87" s="28" t="s">
        <ns0:v>17</ns0:v>
      </ns0:c>
      <ns0:c r="K87" s="26" t="s">
        <ns0:v>64</ns0:v>
      </ns0:c>
      <ns0:c r="L87" s="30" t="n">
        <ns0:v>2594</ns0:v>
      </ns0:c>
      <ns0:c r="M87" s="30" t="n">
        <ns0:v>466.92</ns0:v>
      </ns0:c>
      <ns0:c r="N87" s="30" t="n">
        <ns0:v>3060.92</ns0:v>
      </ns0:c>
      <ns0:c r="O87" s="31" t="n">
        <ns0:v>0</ns0:v>
      </ns0:c>
      <ns0:c r="P87" s="32" t="n">
        <ns0:f aca="false">N87-O87</ns0:f>
        <ns0:v>3060.92</ns0:v>
      </ns0:c>
      <ns0:c r="Q87" s="28" t="s">
        <ns0:v>96</ns0:v>
      </ns0:c>
      <ns0:c r="R87" s="28" t="s">
        <ns0:v>38</ns0:v>
      </ns0:c>
      <ns0:c r="S87" s="33"/>
      <ns0:c r="T87" s="34"/>
      <ns0:c r="U87" s="29" t="s">
        <ns0:v>442</ns0:v>
      </ns0:c>
    </ns0:row>
    <ns0:row r="88" customFormat="false" ht="15" hidden="false" customHeight="true" outlineLevel="0" collapsed="false">
      <ns0:c r="A88" s="26" t="s">
        <ns0:v>443</ns0:v>
      </ns0:c>
      <ns0:c r="B88" s="27" t="n">
        <ns0:v>46066</ns0:v>
      </ns0:c>
      <ns0:c r="C88" s="28" t="s">
        <ns0:v>60</ns0:v>
      </ns0:c>
      <ns0:c r="D88" s="28" t="s">
        <ns0:v>111</ns0:v>
      </ns0:c>
      <ns0:c r="E88" s="29" t="s">
        <ns0:v>444</ns0:v>
      </ns0:c>
      <ns0:c r="F88" s="28" t="s">
        <ns0:v>89</ns0:v>
      </ns0:c>
      <ns0:c r="G88" s="26" t="s">
        <ns0:v>18</ns0:v>
      </ns0:c>
      <ns0:c r="H88" s="26"/>
      <ns0:c r="I88" s="26" t="n">
        <ns0:v>1000291</ns0:v>
      </ns0:c>
      <ns0:c r="J88" s="28" t="s">
        <ns0:v>17</ns0:v>
      </ns0:c>
      <ns0:c r="K88" s="26" t="s">
        <ns0:v>64</ns0:v>
      </ns0:c>
      <ns0:c r="L88" s="30" t="n">
        <ns0:v>1579.5</ns0:v>
      </ns0:c>
      <ns0:c r="M88" s="30" t="n">
        <ns0:v>284.31</ns0:v>
      </ns0:c>
      <ns0:c r="N88" s="30" t="n">
        <ns0:v>1863.81</ns0:v>
      </ns0:c>
      <ns0:c r="O88" s="31" t="n">
        <ns0:v>0</ns0:v>
      </ns0:c>
      <ns0:c r="P88" s="32" t="n">
        <ns0:f aca="false">N88-O88</ns0:f>
        <ns0:v>1863.81</ns0:v>
      </ns0:c>
      <ns0:c r="Q88" s="28" t="s">
        <ns0:v>96</ns0:v>
      </ns0:c>
      <ns0:c r="R88" s="28" t="s">
        <ns0:v>38</ns0:v>
      </ns0:c>
      <ns0:c r="S88" s="33"/>
      <ns0:c r="T88" s="34"/>
      <ns0:c r="U88" s="29" t="s">
        <ns0:v>445</ns0:v>
      </ns0:c>
    </ns0:row>
    <ns0:row r="89" customFormat="false" ht="15" hidden="false" customHeight="true" outlineLevel="0" collapsed="false">
      <ns0:c r="A89" s="26" t="s">
        <ns0:v>858</ns0:v>
      </ns0:c>
      <ns0:c r="B89" s="27">
        <ns0:v>46083</ns0:v>
      </ns0:c>
      <ns0:c r="C89" s="28" t="s">
        <ns0:v>859</ns0:v>
      </ns0:c>
      <ns0:c r="D89" s="28" t="s">
        <ns0:v>163</ns0:v>
      </ns0:c>
      <ns0:c r="E89" s="29" t="s">
        <ns0:v>860</ns0:v>
      </ns0:c>
      <ns0:c r="F89" s="28" t="s">
        <ns0:v>861</ns0:v>
      </ns0:c>
      <ns0:c r="G89" s="26" t="s">
        <ns0:v>18</ns0:v>
      </ns0:c>
      <ns0:c r="H89" s="26">
        <ns0:v>309</ns0:v>
      </ns0:c>
      <ns0:c r="I89" s="26" t="s">
        <ns0:v>1008</ns0:v>
      </ns0:c>
      <ns0:c r="J89" s="28" t="s">
        <ns0:v>17</ns0:v>
      </ns0:c>
      <ns0:c r="K89" s="26" t="s">
        <ns0:v>49</ns0:v>
      </ns0:c>
      <ns0:c r="L89" s="30">
        <ns0:v>5452.0</ns0:v>
      </ns0:c>
      <ns0:c r="M89" s="30">
        <ns0:v>981.36</ns0:v>
      </ns0:c>
      <ns0:c r="N89" s="30">
        <ns0:v>6433.36</ns0:v>
      </ns0:c>
      <ns0:c r="O89" s="31">
        <ns0:v>2573.34</ns0:v>
      </ns0:c>
      <ns0:c r="P89" s="32">
        <ns0:f>N89-O89</ns0:f>
      </ns0:c>
      <ns0:c r="Q89" s="28" t="s">
        <ns0:v>862</ns0:v>
      </ns0:c>
      <ns0:c r="R89" s="28" t="s">
        <ns0:v>209</ns0:v>
      </ns0:c>
      <ns0:c r="U89" s="29" t="s">
        <ns0:v>1009</ns0:v>
      </ns0:c>
    </ns0:row>
    <ns0:row r="90" customFormat="false" ht="15" hidden="false" customHeight="true" outlineLevel="0" collapsed="false">
      <ns0:c r="A90" s="26" t="s">
        <ns0:v>864</ns0:v>
      </ns0:c>
      <ns0:c r="B90" s="27">
        <ns0:v>46067</ns0:v>
      </ns0:c>
      <ns0:c r="C90" s="28" t="s">
        <ns0:v>865</ns0:v>
      </ns0:c>
      <ns0:c r="D90" s="28" t="s">
        <ns0:v>866</ns0:v>
      </ns0:c>
      <ns0:c r="E90" s="29" t="s">
        <ns0:v>867</ns0:v>
      </ns0:c>
      <ns0:c r="F90" s="28" t="s">
        <ns0:v>868</ns0:v>
      </ns0:c>
      <ns0:c r="G90" s="26" t="s">
        <ns0:v>14</ns0:v>
      </ns0:c>
      <ns0:c r="H90" s="26">
        <ns0:v>310</ns0:v>
      </ns0:c>
      <ns0:c r="J90" s="28" t="s">
        <ns0:v>17</ns0:v>
      </ns0:c>
      <ns0:c r="K90" s="26" t="s">
        <ns0:v>49</ns0:v>
      </ns0:c>
      <ns0:c r="L90" s="30">
        <ns0:v>9336.0</ns0:v>
      </ns0:c>
      <ns0:c r="M90" s="30">
        <ns0:v>1680.48</ns0:v>
      </ns0:c>
      <ns0:c r="N90" s="30">
        <ns0:v>11016.48</ns0:v>
      </ns0:c>
      <ns0:c r="O90" s="31">
        <ns0:v>0</ns0:v>
      </ns0:c>
      <ns0:c r="P90" s="32">
        <ns0:f>N90-O90</ns0:f>
      </ns0:c>
      <ns0:c r="Q90" s="28" t="s">
        <ns0:v>862</ns0:v>
      </ns0:c>
      <ns0:c r="R90" s="28" t="s">
        <ns0:v>51</ns0:v>
      </ns0:c>
      <ns0:c r="U90" s="29" t="s">
        <ns0:v>863</ns0:v>
      </ns0:c>
    </ns0:row>
    <ns0:row r="91" customFormat="false" ht="15" hidden="false" customHeight="true" outlineLevel="0" collapsed="false">
      <ns0:c r="A91" s="26" t="s">
        <ns0:v>875</ns0:v>
      </ns0:c>
      <ns0:c r="B91" s="27">
        <ns0:v>46070</ns0:v>
      </ns0:c>
      <ns0:c r="C91" s="28" t="s">
        <ns0:v>876</ns0:v>
      </ns0:c>
      <ns0:c r="D91" s="28" t="s">
        <ns0:v>877</ns0:v>
      </ns0:c>
      <ns0:c r="E91" s="29" t="s">
        <ns0:v>878</ns0:v>
      </ns0:c>
      <ns0:c r="F91" s="28" t="s">
        <ns0:v>879</ns0:v>
      </ns0:c>
      <ns0:c r="G91" s="26" t="s">
        <ns0:v>16</ns0:v>
      </ns0:c>
      <ns0:c r="I91" s="26">
        <ns0:v>400215</ns0:v>
      </ns0:c>
      <ns0:c r="J91" s="28" t="s">
        <ns0:v>15</ns0:v>
      </ns0:c>
      <ns0:c r="K91" s="26" t="s">
        <ns0:v>64</ns0:v>
      </ns0:c>
      <ns0:c r="L91" s="30">
        <ns0:v>90.0</ns0:v>
      </ns0:c>
      <ns0:c r="M91" s="30">
        <ns0:v>16.2</ns0:v>
      </ns0:c>
      <ns0:c r="N91" s="30">
        <ns0:v>106.2</ns0:v>
      </ns0:c>
      <ns0:c r="O91" s="31">
        <ns0:v>0</ns0:v>
      </ns0:c>
      <ns0:c r="P91" s="32">
        <ns0:f>N91-O91</ns0:f>
      </ns0:c>
      <ns0:c r="Q91" s="28" t="s">
        <ns0:v>65</ns0:v>
      </ns0:c>
      <ns0:c r="R91" s="28" t="s">
        <ns0:v>854</ns0:v>
      </ns0:c>
      <ns0:c r="U91" s="29" t="s">
        <ns0:v>880</ns0:v>
      </ns0:c>
    </ns0:row>
    <ns0:row r="92" customFormat="false" ht="15" hidden="false" customHeight="true" outlineLevel="0" collapsed="false">
      <ns0:c r="A92" s="26" t="s">
        <ns0:v>881</ns0:v>
      </ns0:c>
      <ns0:c r="B92" s="27">
        <ns0:v>46070</ns0:v>
      </ns0:c>
      <ns0:c r="C92" s="28" t="s">
        <ns0:v>433</ns0:v>
      </ns0:c>
      <ns0:c r="D92" s="28" t="s">
        <ns0:v>882</ns0:v>
      </ns0:c>
      <ns0:c r="E92" s="29" t="s">
        <ns0:v>883</ns0:v>
      </ns0:c>
      <ns0:c r="F92" s="28" t="s">
        <ns0:v>159</ns0:v>
      </ns0:c>
      <ns0:c r="G92" s="26" t="s">
        <ns0:v>18</ns0:v>
      </ns0:c>
      <ns0:c r="I92" s="26">
        <ns0:v>1000298</ns0:v>
      </ns0:c>
      <ns0:c r="J92" s="28" t="s">
        <ns0:v>15</ns0:v>
      </ns0:c>
      <ns0:c r="K92" s="26" t="s">
        <ns0:v>64</ns0:v>
      </ns0:c>
      <ns0:c r="L92" s="30">
        <ns0:v>370.0</ns0:v>
      </ns0:c>
      <ns0:c r="M92" s="30">
        <ns0:v>66.6</ns0:v>
      </ns0:c>
      <ns0:c r="N92" s="30">
        <ns0:v>436.6</ns0:v>
      </ns0:c>
      <ns0:c r="O92" s="31">
        <ns0:v>0</ns0:v>
      </ns0:c>
      <ns0:c r="P92" s="32">
        <ns0:f>N92-O92</ns0:f>
      </ns0:c>
      <ns0:c r="Q92" s="28" t="s">
        <ns0:v>65</ns0:v>
      </ns0:c>
      <ns0:c r="R92" s="28" t="s">
        <ns0:v>854</ns0:v>
      </ns0:c>
      <ns0:c r="U92" s="29" t="s">
        <ns0:v>884</ns0:v>
      </ns0:c>
    </ns0:row>
    <ns0:row r="93" customFormat="false" ht="15" hidden="false" customHeight="true" outlineLevel="0" collapsed="false">
      <ns0:c r="A93" s="26" t="s">
        <ns0:v>885</ns0:v>
      </ns0:c>
      <ns0:c r="B93" s="27">
        <ns0:v>46071</ns0:v>
      </ns0:c>
      <ns0:c r="C93" s="28" t="s">
        <ns0:v>886</ns0:v>
      </ns0:c>
      <ns0:c r="D93" s="28" t="s">
        <ns0:v>887</ns0:v>
      </ns0:c>
      <ns0:c r="E93" s="29" t="s">
        <ns0:v>888</ns0:v>
      </ns0:c>
      <ns0:c r="F93" s="28" t="s">
        <ns0:v>889</ns0:v>
      </ns0:c>
      <ns0:c r="G93" s="26" t="s">
        <ns0:v>18</ns0:v>
      </ns0:c>
      <ns0:c r="H93" s="26">
        <ns0:v>299</ns0:v>
      </ns0:c>
      <ns0:c r="I93" s="26">
        <ns0:v>1000299</ns0:v>
      </ns0:c>
      <ns0:c r="J93" s="28" t="s">
        <ns0:v>15</ns0:v>
      </ns0:c>
      <ns0:c r="K93" s="26" t="s">
        <ns0:v>64</ns0:v>
      </ns0:c>
      <ns0:c r="L93" s="30">
        <ns0:v>285.0</ns0:v>
      </ns0:c>
      <ns0:c r="M93" s="30">
        <ns0:v>51.3</ns0:v>
      </ns0:c>
      <ns0:c r="N93" s="30">
        <ns0:v>336.3</ns0:v>
      </ns0:c>
      <ns0:c r="O93" s="31">
        <ns0:v>0</ns0:v>
      </ns0:c>
      <ns0:c r="P93" s="32">
        <ns0:f>N93-O93</ns0:f>
      </ns0:c>
      <ns0:c r="Q93" s="28" t="s">
        <ns0:v>65</ns0:v>
      </ns0:c>
      <ns0:c r="R93" s="28" t="s">
        <ns0:v>854</ns0:v>
      </ns0:c>
      <ns0:c r="U93" s="29" t="s">
        <ns0:v>884</ns0:v>
      </ns0:c>
    </ns0:row>
    <ns0:row r="94" customFormat="false" ht="15" hidden="false" customHeight="true" outlineLevel="0" collapsed="false">
      <ns0:c r="A94" s="26" t="s">
        <ns0:v>890</ns0:v>
      </ns0:c>
      <ns0:c r="B94" s="27">
        <ns0:v>46074</ns0:v>
      </ns0:c>
      <ns0:c r="C94" s="28" t="s">
        <ns0:v>891</ns0:v>
      </ns0:c>
      <ns0:c r="D94" s="28" t="s">
        <ns0:v>892</ns0:v>
      </ns0:c>
      <ns0:c r="E94" s="29" t="s">
        <ns0:v>893</ns0:v>
      </ns0:c>
      <ns0:c r="F94" s="28" t="s">
        <ns0:v>894</ns0:v>
      </ns0:c>
      <ns0:c r="G94" s="26" t="s">
        <ns0:v>16</ns0:v>
      </ns0:c>
      <ns0:c r="I94" s="26">
        <ns0:v>400217</ns0:v>
      </ns0:c>
      <ns0:c r="J94" s="28" t="s">
        <ns0:v>17</ns0:v>
      </ns0:c>
      <ns0:c r="K94" s="26" t="s">
        <ns0:v>64</ns0:v>
      </ns0:c>
      <ns0:c r="L94" s="30">
        <ns0:v>423.73</ns0:v>
      </ns0:c>
      <ns0:c r="M94" s="30">
        <ns0:v>76.27</ns0:v>
      </ns0:c>
      <ns0:c r="N94" s="30">
        <ns0:v>500.0</ns0:v>
      </ns0:c>
      <ns0:c r="O94" s="31">
        <ns0:v>500.0</ns0:v>
      </ns0:c>
      <ns0:c r="P94" s="32">
        <ns0:f>N94-O94</ns0:f>
      </ns0:c>
      <ns0:c r="Q94" s="28" t="s">
        <ns0:v>50</ns0:v>
      </ns0:c>
      <ns0:c r="R94" s="28" t="s">
        <ns0:v>209</ns0:v>
      </ns0:c>
      <ns0:c r="U94" s="29" t="s">
        <ns0:v>895</ns0:v>
      </ns0:c>
    </ns0:row>
    <ns0:row r="95" customFormat="false" ht="15" hidden="false" customHeight="true" outlineLevel="0" collapsed="false">
      <ns0:c r="A95" s="26" t="s">
        <ns0:v>896</ns0:v>
      </ns0:c>
      <ns0:c r="B95" s="27">
        <ns0:v>46074</ns0:v>
      </ns0:c>
      <ns0:c r="C95" s="28" t="s">
        <ns0:v>897</ns0:v>
      </ns0:c>
      <ns0:c r="D95" s="28" t="s">
        <ns0:v>898</ns0:v>
      </ns0:c>
      <ns0:c r="E95" s="29" t="s">
        <ns0:v>899</ns0:v>
      </ns0:c>
      <ns0:c r="F95" s="28" t="s">
        <ns0:v>203</ns0:v>
      </ns0:c>
      <ns0:c r="G95" s="26" t="s">
        <ns0:v>14</ns0:v>
      </ns0:c>
      <ns0:c r="H95" s="26">
        <ns0:v>317</ns0:v>
      </ns0:c>
      <ns0:c r="J95" s="28" t="s">
        <ns0:v>15</ns0:v>
      </ns0:c>
      <ns0:c r="K95" s="26" t="s">
        <ns0:v>49</ns0:v>
      </ns0:c>
      <ns0:c r="L95" s="30">
        <ns0:v>467.5</ns0:v>
      </ns0:c>
      <ns0:c r="M95" s="30">
        <ns0:v>84.15</ns0:v>
      </ns0:c>
      <ns0:c r="N95" s="30">
        <ns0:v>551.65</ns0:v>
      </ns0:c>
      <ns0:c r="O95" s="31">
        <ns0:v>0</ns0:v>
      </ns0:c>
      <ns0:c r="P95" s="32">
        <ns0:f>N95-O95</ns0:f>
      </ns0:c>
      <ns0:c r="Q95" s="28" t="s">
        <ns0:v>50</ns0:v>
      </ns0:c>
      <ns0:c r="R95" s="28" t="s">
        <ns0:v>51</ns0:v>
      </ns0:c>
      <ns0:c r="U95" s="29" t="s">
        <ns0:v>863</ns0:v>
      </ns0:c>
    </ns0:row>
    <ns0:row r="96" customFormat="false" ht="15" hidden="false" customHeight="true" outlineLevel="0" collapsed="false">
      <ns0:c r="A96" s="26" t="s">
        <ns0:v>910</ns0:v>
      </ns0:c>
      <ns0:c r="B96" s="27">
        <ns0:v>46074</ns0:v>
      </ns0:c>
      <ns0:c r="C96" s="28" t="s">
        <ns0:v>915</ns0:v>
      </ns0:c>
      <ns0:c r="D96" s="28" t="s">
        <ns0:v>69</ns0:v>
      </ns0:c>
      <ns0:c r="E96" s="29" t="s">
        <ns0:v>916</ns0:v>
      </ns0:c>
      <ns0:c r="F96" s="28" t="s">
        <ns0:v>215</ns0:v>
      </ns0:c>
      <ns0:c r="G96" s="26" t="s">
        <ns0:v>14</ns0:v>
      </ns0:c>
      <ns0:c r="H96" s="26">
        <ns0:v>318</ns0:v>
      </ns0:c>
      <ns0:c r="I96" s="35"/>
      <ns0:c r="J96" s="28" t="s">
        <ns0:v>15</ns0:v>
      </ns0:c>
      <ns0:c r="K96" s="26" t="s">
        <ns0:v>49</ns0:v>
      </ns0:c>
      <ns0:c r="L96" s="30">
        <ns0:v>387.5</ns0:v>
      </ns0:c>
      <ns0:c r="M96" s="30">
        <ns0:v>69.75</ns0:v>
      </ns0:c>
      <ns0:c r="N96" s="30">
        <ns0:v>457.25</ns0:v>
      </ns0:c>
      <ns0:c r="O96" s="31">
        <ns0:v>0</ns0:v>
      </ns0:c>
      <ns0:c r="P96" s="32">
        <ns0:f aca="false">N96-O96</ns0:f>
      </ns0:c>
      <ns0:c r="Q96" s="28" t="s">
        <ns0:v>50</ns0:v>
      </ns0:c>
      <ns0:c r="R96" s="28" t="s">
        <ns0:v>51</ns0:v>
      </ns0:c>
      <ns0:c r="U96" s="29" t="s">
        <ns0:v>919</ns0:v>
      </ns0:c>
    </ns0:row>
    <ns0:row r="97" customFormat="false" ht="15" hidden="false" customHeight="true" outlineLevel="0" collapsed="false">
      <ns0:c r="A97" s="26" t="s">
        <ns0:v>911</ns0:v>
      </ns0:c>
      <ns0:c r="B97" s="27">
        <ns0:v>46078</ns0:v>
      </ns0:c>
      <ns0:c r="C97" s="28" t="s">
        <ns0:v>200</ns0:v>
      </ns0:c>
      <ns0:c r="D97" s="28" t="s">
        <ns0:v>920</ns0:v>
      </ns0:c>
      <ns0:c r="E97" s="29" t="s">
        <ns0:v>921</ns0:v>
      </ns0:c>
      <ns0:c r="F97" s="28" t="s">
        <ns0:v>159</ns0:v>
      </ns0:c>
      <ns0:c r="G97" s="26" t="s">
        <ns0:v>18</ns0:v>
      </ns0:c>
      <ns0:c r="H97" s="35"/>
      <ns0:c r="I97" s="26" t="s">
        <ns0:v>952</ns0:v>
      </ns0:c>
      <ns0:c r="J97" s="28" t="s">
        <ns0:v>15</ns0:v>
      </ns0:c>
      <ns0:c r="K97" s="26" t="s">
        <ns0:v>64</ns0:v>
      </ns0:c>
      <ns0:c r="L97" s="30">
        <ns0:v>11533.18</ns0:v>
      </ns0:c>
      <ns0:c r="M97" s="30">
        <ns0:v>2075.97</ns0:v>
      </ns0:c>
      <ns0:c r="N97" s="30">
        <ns0:v>13609.15</ns0:v>
      </ns0:c>
      <ns0:c r="O97" s="31">
        <ns0:v>13609.15</ns0:v>
      </ns0:c>
      <ns0:c r="P97" s="32">
        <ns0:f aca="false">N97-O97</ns0:f>
      </ns0:c>
      <ns0:c r="Q97" s="28" t="s">
        <ns0:v>65</ns0:v>
      </ns0:c>
      <ns0:c r="R97" s="28" t="s">
        <ns0:v>854</ns0:v>
      </ns0:c>
      <ns0:c r="U97" s="29" t="s">
        <ns0:v>1010</ns0:v>
      </ns0:c>
    </ns0:row>
    <ns0:row r="98" customFormat="false" ht="15" hidden="false" customHeight="true" outlineLevel="0" collapsed="false">
      <ns0:c r="A98" s="26" t="s">
        <ns0:v>912</ns0:v>
      </ns0:c>
      <ns0:c r="B98" s="27">
        <ns0:v>46076</ns0:v>
      </ns0:c>
      <ns0:c r="C98" s="28" t="s">
        <ns0:v>922</ns0:v>
      </ns0:c>
      <ns0:c r="D98" s="28" t="s">
        <ns0:v>163</ns0:v>
      </ns0:c>
      <ns0:c r="E98" s="29" t="s">
        <ns0:v>923</ns0:v>
      </ns0:c>
      <ns0:c r="F98" s="28" t="s">
        <ns0:v>924</ns0:v>
      </ns0:c>
      <ns0:c r="G98" s="26" t="s">
        <ns0:v>14</ns0:v>
      </ns0:c>
      <ns0:c r="H98" s="26">
        <ns0:v>323</ns0:v>
      </ns0:c>
      <ns0:c r="I98" s="35"/>
      <ns0:c r="J98" s="28" t="s">
        <ns0:v>15</ns0:v>
      </ns0:c>
      <ns0:c r="K98" s="26" t="s">
        <ns0:v>49</ns0:v>
      </ns0:c>
      <ns0:c r="L98" s="30">
        <ns0:v>20986.2</ns0:v>
      </ns0:c>
      <ns0:c r="M98" s="30">
        <ns0:v>3777.52</ns0:v>
      </ns0:c>
      <ns0:c r="N98" s="30">
        <ns0:v>24763.72</ns0:v>
      </ns0:c>
      <ns0:c r="O98" s="31">
        <ns0:v>0</ns0:v>
      </ns0:c>
      <ns0:c r="P98" s="32">
        <ns0:f aca="false">N98-O98</ns0:f>
      </ns0:c>
      <ns0:c r="Q98" s="28" t="s">
        <ns0:v>50</ns0:v>
      </ns0:c>
      <ns0:c r="R98" s="28" t="s">
        <ns0:v>51</ns0:v>
      </ns0:c>
      <ns0:c r="U98" s="29" t="s">
        <ns0:v>863</ns0:v>
      </ns0:c>
    </ns0:row>
    <ns0:row r="99" customFormat="false" ht="15" hidden="false" customHeight="true" outlineLevel="0" collapsed="false">
      <ns0:c r="A99" s="26" t="s">
        <ns0:v>913</ns0:v>
      </ns0:c>
      <ns0:c r="B99" s="27">
        <ns0:v>46079</ns0:v>
      </ns0:c>
      <ns0:c r="C99" s="28" t="s">
        <ns0:v>925</ns0:v>
      </ns0:c>
      <ns0:c r="D99" s="28" t="s">
        <ns0:v>926</ns0:v>
      </ns0:c>
      <ns0:c r="E99" s="29" t="s">
        <ns0:v>927</ns0:v>
      </ns0:c>
      <ns0:c r="F99" s="28" t="s">
        <ns0:v>928</ns0:v>
      </ns0:c>
      <ns0:c r="G99" s="26" t="s">
        <ns0:v>14</ns0:v>
      </ns0:c>
      <ns0:c r="H99" s="26">
        <ns0:v>324</ns0:v>
      </ns0:c>
      <ns0:c r="I99" s="35"/>
      <ns0:c r="J99" s="28" t="s">
        <ns0:v>17</ns0:v>
      </ns0:c>
      <ns0:c r="K99" s="26" t="s">
        <ns0:v>49</ns0:v>
      </ns0:c>
      <ns0:c r="L99" s="30">
        <ns0:v>4300.0</ns0:v>
      </ns0:c>
      <ns0:c r="M99" s="30">
        <ns0:v>774.0</ns0:v>
      </ns0:c>
      <ns0:c r="N99" s="30">
        <ns0:v>5074.0</ns0:v>
      </ns0:c>
      <ns0:c r="O99" s="31">
        <ns0:v>0</ns0:v>
      </ns0:c>
      <ns0:c r="P99" s="32">
        <ns0:f aca="false">N99-O99</ns0:f>
      </ns0:c>
      <ns0:c r="Q99" s="28" t="s">
        <ns0:v>50</ns0:v>
      </ns0:c>
      <ns0:c r="R99" s="28" t="s">
        <ns0:v>51</ns0:v>
      </ns0:c>
      <ns0:c r="U99" s="29" t="s">
        <ns0:v>863</ns0:v>
      </ns0:c>
    </ns0:row>
    <ns0:row r="100" customFormat="false" ht="15" hidden="false" customHeight="true" outlineLevel="0" collapsed="false">
      <ns0:c r="A100" s="26" t="s">
        <ns0:v>914</ns0:v>
      </ns0:c>
      <ns0:c r="B100" s="27">
        <ns0:v>46079</ns0:v>
      </ns0:c>
      <ns0:c r="C100" s="28" t="s">
        <ns0:v>925</ns0:v>
      </ns0:c>
      <ns0:c r="D100" s="28" t="s">
        <ns0:v>926</ns0:v>
      </ns0:c>
      <ns0:c r="E100" s="29" t="s">
        <ns0:v>929</ns0:v>
      </ns0:c>
      <ns0:c r="F100" s="28" t="s">
        <ns0:v>930</ns0:v>
      </ns0:c>
      <ns0:c r="G100" s="26" t="s">
        <ns0:v>14</ns0:v>
      </ns0:c>
      <ns0:c r="H100" s="26">
        <ns0:v>325</ns0:v>
      </ns0:c>
      <ns0:c r="I100" s="35"/>
      <ns0:c r="J100" s="28" t="s">
        <ns0:v>17</ns0:v>
      </ns0:c>
      <ns0:c r="K100" s="26" t="s">
        <ns0:v>49</ns0:v>
      </ns0:c>
      <ns0:c r="L100" s="30">
        <ns0:v>6680.0</ns0:v>
      </ns0:c>
      <ns0:c r="M100" s="30">
        <ns0:v>1202.4</ns0:v>
      </ns0:c>
      <ns0:c r="N100" s="30">
        <ns0:v>7882.4</ns0:v>
      </ns0:c>
      <ns0:c r="O100" s="31">
        <ns0:v>0</ns0:v>
      </ns0:c>
      <ns0:c r="P100" s="32">
        <ns0:f aca="false">N100-O100</ns0:f>
      </ns0:c>
      <ns0:c r="Q100" s="28" t="s">
        <ns0:v>50</ns0:v>
      </ns0:c>
      <ns0:c r="R100" s="28" t="s">
        <ns0:v>51</ns0:v>
      </ns0:c>
      <ns0:c r="U100" s="29" t="s">
        <ns0:v>931</ns0:v>
      </ns0:c>
    </ns0:row>
    <ns0:row r="101" customFormat="false" ht="15" hidden="false" customHeight="true" outlineLevel="0" collapsed="false">
      <ns0:c r="A101" s="26" t="s">
        <ns0:v>1011</ns0:v>
      </ns0:c>
      <ns0:c r="B101" s="27">
        <ns0:v>46083</ns0:v>
      </ns0:c>
      <ns0:c r="C101" s="28" t="s">
        <ns0:v>1012</ns0:v>
      </ns0:c>
      <ns0:c r="D101" s="28" t="s">
        <ns0:v>247</ns0:v>
      </ns0:c>
      <ns0:c r="E101" s="29" t="s">
        <ns0:v>1013</ns0:v>
      </ns0:c>
      <ns0:c r="F101" s="28" t="s">
        <ns0:v>1014</ns0:v>
      </ns0:c>
      <ns0:c r="G101" s="26" t="s">
        <ns0:v>18</ns0:v>
      </ns0:c>
      <ns0:c r="H101" s="35"/>
      <ns0:c r="I101" s="26" t="s">
        <ns0:v>1015</ns0:v>
      </ns0:c>
      <ns0:c r="J101" s="28" t="s">
        <ns0:v>15</ns0:v>
      </ns0:c>
      <ns0:c r="K101" s="26" t="s">
        <ns0:v>64</ns0:v>
      </ns0:c>
      <ns0:c r="L101" s="30">
        <ns0:v>36732.0</ns0:v>
      </ns0:c>
      <ns0:c r="M101" s="30">
        <ns0:v>6611.76</ns0:v>
      </ns0:c>
      <ns0:c r="N101" s="30">
        <ns0:v>43343.76</ns0:v>
      </ns0:c>
      <ns0:c r="O101" s="31">
        <ns0:v>0</ns0:v>
      </ns0:c>
      <ns0:c r="P101" s="32">
        <ns0:f>N101-O101</ns0:f>
        <ns0:v>43343.76</ns0:v>
      </ns0:c>
      <ns0:c r="Q101" s="28" t="s">
        <ns0:v>65</ns0:v>
      </ns0:c>
      <ns0:c r="R101" s="28" t="s">
        <ns0:v>854</ns0:v>
      </ns0:c>
      <ns0:c r="U101" s="29" t="s">
        <ns0:v>1039</ns0:v>
      </ns0:c>
    </ns0:row>
    <ns0:row r="102" customFormat="false" ht="15" hidden="false" customHeight="true" outlineLevel="0" collapsed="false">
      <ns0:c r="A102" s="26" t="s">
        <ns0:v>1017</ns0:v>
      </ns0:c>
      <ns0:c r="B102" s="27">
        <ns0:v>46083</ns0:v>
      </ns0:c>
      <ns0:c r="C102" s="28" t="s">
        <ns0:v>1012</ns0:v>
      </ns0:c>
      <ns0:c r="D102" s="28" t="s">
        <ns0:v>247</ns0:v>
      </ns0:c>
      <ns0:c r="E102" s="29" t="s">
        <ns0:v>1018</ns0:v>
      </ns0:c>
      <ns0:c r="F102" s="28" t="s">
        <ns0:v>1014</ns0:v>
      </ns0:c>
      <ns0:c r="G102" s="26" t="s">
        <ns0:v>18</ns0:v>
      </ns0:c>
      <ns0:c r="H102" s="35"/>
      <ns0:c r="I102" s="26" t="s">
        <ns0:v>1019</ns0:v>
      </ns0:c>
      <ns0:c r="J102" s="28" t="s">
        <ns0:v>1020</ns0:v>
      </ns0:c>
      <ns0:c r="K102" s="26" t="s">
        <ns0:v>64</ns0:v>
      </ns0:c>
      <ns0:c r="L102" s="30">
        <ns0:v>23025.0</ns0:v>
      </ns0:c>
      <ns0:c r="M102" s="30">
        <ns0:v>4144.5</ns0:v>
      </ns0:c>
      <ns0:c r="N102" s="30">
        <ns0:v>27169.5</ns0:v>
      </ns0:c>
      <ns0:c r="O102" s="31">
        <ns0:v>0</ns0:v>
      </ns0:c>
      <ns0:c r="P102" s="32">
        <ns0:f>N102-O102</ns0:f>
        <ns0:v>27169.5</ns0:v>
      </ns0:c>
      <ns0:c r="Q102" s="28" t="s">
        <ns0:v>65</ns0:v>
      </ns0:c>
      <ns0:c r="R102" s="28" t="s">
        <ns0:v>854</ns0:v>
      </ns0:c>
      <ns0:c r="U102" s="29" t="s">
        <ns0:v>1021</ns0:v>
      </ns0:c>
    </ns0:row>
    <ns0:row r="103" customFormat="false" ht="15" hidden="false" customHeight="true" outlineLevel="0" collapsed="false">
      <ns0:c r="A103" t="s" s="26">
        <ns0:v>1040</ns0:v>
      </ns0:c>
      <ns0:c r="B103" s="27">
        <ns0:v>46087</ns0:v>
      </ns0:c>
      <ns0:c r="C103" t="s" s="28">
        <ns0:v>1041</ns0:v>
      </ns0:c>
      <ns0:c r="D103" t="s" s="28">
        <ns0:v>1042</ns0:v>
      </ns0:c>
      <ns0:c r="E103" t="s" s="29">
        <ns0:v>1043</ns0:v>
      </ns0:c>
      <ns0:c r="F103" t="s" s="28">
        <ns0:v>292</ns0:v>
      </ns0:c>
      <ns0:c r="G103" t="s" s="26">
        <ns0:v>18</ns0:v>
      </ns0:c>
      <ns0:c r="I103" t="s" s="26">
        <ns0:v>1044</ns0:v>
      </ns0:c>
      <ns0:c r="J103" t="s" s="28">
        <ns0:v>15</ns0:v>
      </ns0:c>
      <ns0:c r="K103" t="s" s="26">
        <ns0:v>64</ns0:v>
      </ns0:c>
      <ns0:c r="L103" s="30">
        <ns0:v>1030.0</ns0:v>
      </ns0:c>
      <ns0:c r="M103" s="30">
        <ns0:v>185.4</ns0:v>
      </ns0:c>
      <ns0:c r="N103" s="30">
        <ns0:v>1215.4</ns0:v>
      </ns0:c>
      <ns0:c r="O103" s="31">
        <ns0:v>0</ns0:v>
      </ns0:c>
      <ns0:c r="P103" s="32">
        <ns0:f>N103-O103</ns0:f>
        <ns0:v>1215.4</ns0:v>
      </ns0:c>
      <ns0:c r="Q103" t="s" s="28">
        <ns0:v>65</ns0:v>
      </ns0:c>
      <ns0:c r="R103" t="s" s="28">
        <ns0:v>854</ns0:v>
      </ns0:c>
      <ns0:c r="U103" t="s" s="29">
        <ns0:v>1045</ns0:v>
      </ns0:c>
    </ns0:row>
    <ns0:row r="104" customFormat="false" ht="15" hidden="false" customHeight="true" outlineLevel="0" collapsed="false">
      <ns0:c r="A104" t="s" s="26">
        <ns0:v>1048</ns0:v>
      </ns0:c>
      <ns0:c r="B104" s="27">
        <ns0:v>45901</ns0:v>
      </ns0:c>
      <ns0:c r="C104" t="s" s="28">
        <ns0:v>1049</ns0:v>
      </ns0:c>
      <ns0:c r="D104" t="s" s="28">
        <ns0:v>1050</ns0:v>
      </ns0:c>
      <ns0:c r="E104" t="s" s="29">
        <ns0:v>1051</ns0:v>
      </ns0:c>
      <ns0:c r="F104" t="s" s="28">
        <ns0:v>89</ns0:v>
      </ns0:c>
      <ns0:c r="G104" t="s" s="26">
        <ns0:v>18</ns0:v>
      </ns0:c>
      <ns0:c r="I104" t="s" s="26">
        <ns0:v>1052</ns0:v>
      </ns0:c>
      <ns0:c r="J104" t="s" s="28">
        <ns0:v>17</ns0:v>
      </ns0:c>
      <ns0:c r="K104" t="s" s="26">
        <ns0:v>64</ns0:v>
      </ns0:c>
      <ns0:c r="L104" s="30">
        <ns0:v>3786.0</ns0:v>
      </ns0:c>
      <ns0:c r="M104" s="30">
        <ns0:v>681.48</ns0:v>
      </ns0:c>
      <ns0:c r="N104" s="30">
        <ns0:v>4467.48</ns0:v>
      </ns0:c>
      <ns0:c r="O104" s="31">
        <ns0:v>2576.52</ns0:v>
      </ns0:c>
      <ns0:c r="P104" s="32">
        <ns0:f>N104-O104</ns0:f>
        <ns0:v>1890.96</ns0:v>
      </ns0:c>
      <ns0:c r="Q104" t="s" s="28">
        <ns0:v>92</ns0:v>
      </ns0:c>
      <ns0:c r="R104" t="s" s="28">
        <ns0:v>209</ns0:v>
      </ns0:c>
      <ns0:c r="U104" t="s" s="29">
        <ns0:v>1053</ns0:v>
      </ns0:c>
    </ns0:row>
    <ns0:row r="105" customFormat="false" ht="15" hidden="false" customHeight="true" outlineLevel="0" collapsed="false">
      <ns0:c r="A105" t="s" s="26">
        <ns0:v>1054</ns0:v>
      </ns0:c>
      <ns0:c r="B105" s="27">
        <ns0:v>46090</ns0:v>
      </ns0:c>
      <ns0:c r="C105" t="s" s="28">
        <ns0:v>1055</ns0:v>
      </ns0:c>
      <ns0:c r="D105" t="s" s="28">
        <ns0:v>1056</ns0:v>
      </ns0:c>
      <ns0:c r="E105" t="s" s="29">
        <ns0:v>1057</ns0:v>
      </ns0:c>
      <ns0:c r="F105" t="s" s="28">
        <ns0:v>1058</ns0:v>
      </ns0:c>
      <ns0:c r="G105" t="s" s="26">
        <ns0:v>18</ns0:v>
      </ns0:c>
      <ns0:c r="I105" t="s" s="26">
        <ns0:v>1059</ns0:v>
      </ns0:c>
      <ns0:c r="J105" t="s" s="28">
        <ns0:v>15</ns0:v>
      </ns0:c>
      <ns0:c r="K105" t="s" s="26">
        <ns0:v>64</ns0:v>
      </ns0:c>
      <ns0:c r="L105" s="30">
        <ns0:v>4550.92</ns0:v>
      </ns0:c>
      <ns0:c r="M105" s="30">
        <ns0:v>819.16</ns0:v>
      </ns0:c>
      <ns0:c r="N105" s="30">
        <ns0:v>5370.08</ns0:v>
      </ns0:c>
      <ns0:c r="O105" s="31">
        <ns0:v>0</ns0:v>
      </ns0:c>
      <ns0:c r="P105" s="32">
        <ns0:f>N105-O105</ns0:f>
        <ns0:v>5370.08</ns0:v>
      </ns0:c>
      <ns0:c r="Q105" t="s" s="28">
        <ns0:v>65</ns0:v>
      </ns0:c>
      <ns0:c r="R105" t="s" s="28">
        <ns0:v>854</ns0:v>
      </ns0:c>
      <ns0:c r="U105" t="s" s="29">
        <ns0:v>1060</ns0:v>
      </ns0:c>
    </ns0:row>
    <ns0:row r="106" customFormat="false" ht="15" hidden="false" customHeight="true" outlineLevel="0" collapsed="false">
      <ns0:c r="A106" s="35"/>
      <ns0:c r="B106" s="36"/>
      <ns0:c r="C106" s="35"/>
      <ns0:c r="D106" s="35"/>
      <ns0:c r="E106" s="35"/>
      <ns0:c r="F106" s="35"/>
      <ns0:c r="G106" s="35"/>
      <ns0:c r="H106" s="35"/>
      <ns0:c r="I106" s="35"/>
      <ns0:c r="J106" s="35"/>
      <ns0:c r="K106" s="35"/>
      <ns0:c r="L106" s="11"/>
      <ns0:c r="M106" s="11"/>
      <ns0:c r="N106" s="11"/>
      <ns0:c r="O106" s="37"/>
      <ns0:c r="P106" s="38" t="n">
        <ns0:f aca="false">N106-O106</ns0:f>
        <ns0:v>0</ns0:v>
      </ns0:c>
      <ns0:c r="Q106" s="35"/>
      <ns0:c r="R106" s="35"/>
      <ns0:c r="S106" s="39"/>
      <ns0:c r="T106" s="40"/>
      <ns0:c r="U106" s="35"/>
    </ns0:row>
    <ns0:row r="107" customFormat="false" ht="15" hidden="false" customHeight="true" outlineLevel="0" collapsed="false">
      <ns0:c r="A107" s="35"/>
      <ns0:c r="B107" s="36"/>
      <ns0:c r="C107" s="35"/>
      <ns0:c r="D107" s="35"/>
      <ns0:c r="E107" s="35"/>
      <ns0:c r="F107" s="35"/>
      <ns0:c r="G107" s="35"/>
      <ns0:c r="H107" s="35"/>
      <ns0:c r="I107" s="35"/>
      <ns0:c r="J107" s="35"/>
      <ns0:c r="K107" s="35"/>
      <ns0:c r="L107" s="11"/>
      <ns0:c r="M107" s="11"/>
      <ns0:c r="N107" s="11"/>
      <ns0:c r="O107" s="37"/>
      <ns0:c r="P107" s="38" t="n">
        <ns0:f aca="false">N107-O107</ns0:f>
        <ns0:v>0</ns0:v>
      </ns0:c>
      <ns0:c r="Q107" s="35"/>
      <ns0:c r="R107" s="35"/>
      <ns0:c r="S107" s="39"/>
      <ns0:c r="T107" s="40"/>
      <ns0:c r="U107" s="35"/>
    </ns0:row>
    <ns0:row r="108" customFormat="false" ht="15" hidden="false" customHeight="true" outlineLevel="0" collapsed="false">
      <ns0:c r="A108" s="35"/>
      <ns0:c r="B108" s="36"/>
      <ns0:c r="C108" s="35"/>
      <ns0:c r="D108" s="35"/>
      <ns0:c r="E108" s="35"/>
      <ns0:c r="F108" s="35"/>
      <ns0:c r="G108" s="35"/>
      <ns0:c r="H108" s="35"/>
      <ns0:c r="I108" s="35"/>
      <ns0:c r="J108" s="35"/>
      <ns0:c r="K108" s="35"/>
      <ns0:c r="L108" s="11"/>
      <ns0:c r="M108" s="11"/>
      <ns0:c r="N108" s="11"/>
      <ns0:c r="O108" s="37"/>
      <ns0:c r="P108" s="38" t="n">
        <ns0:f aca="false">N108-O108</ns0:f>
        <ns0:v>0</ns0:v>
      </ns0:c>
      <ns0:c r="Q108" s="35"/>
      <ns0:c r="R108" s="35"/>
      <ns0:c r="S108" s="39"/>
      <ns0:c r="T108" s="40"/>
      <ns0:c r="U108" s="35"/>
    </ns0:row>
    <ns0:row r="109" customFormat="false" ht="15" hidden="false" customHeight="true" outlineLevel="0" collapsed="false">
      <ns0:c r="A109" s="35"/>
      <ns0:c r="B109" s="36"/>
      <ns0:c r="C109" s="35"/>
      <ns0:c r="D109" s="35"/>
      <ns0:c r="E109" s="35"/>
      <ns0:c r="F109" s="35"/>
      <ns0:c r="G109" s="35"/>
      <ns0:c r="H109" s="35"/>
      <ns0:c r="I109" s="35"/>
      <ns0:c r="J109" s="35"/>
      <ns0:c r="K109" s="35"/>
      <ns0:c r="L109" s="11"/>
      <ns0:c r="M109" s="11"/>
      <ns0:c r="N109" s="11"/>
      <ns0:c r="O109" s="37"/>
      <ns0:c r="P109" s="38" t="n">
        <ns0:f aca="false">N109-O109</ns0:f>
        <ns0:v>0</ns0:v>
      </ns0:c>
      <ns0:c r="Q109" s="35"/>
      <ns0:c r="R109" s="35"/>
      <ns0:c r="S109" s="39"/>
      <ns0:c r="T109" s="40"/>
      <ns0:c r="U109" s="35"/>
    </ns0:row>
    <ns0:row r="110" customFormat="false" ht="15" hidden="false" customHeight="true" outlineLevel="0" collapsed="false">
      <ns0:c r="A110" s="35"/>
      <ns0:c r="B110" s="36"/>
      <ns0:c r="C110" s="35"/>
      <ns0:c r="D110" s="35"/>
      <ns0:c r="E110" s="35"/>
      <ns0:c r="F110" s="35"/>
      <ns0:c r="G110" s="35"/>
      <ns0:c r="H110" s="35"/>
      <ns0:c r="I110" s="35"/>
      <ns0:c r="J110" s="35"/>
      <ns0:c r="K110" s="35"/>
      <ns0:c r="L110" s="11"/>
      <ns0:c r="M110" s="11"/>
      <ns0:c r="N110" s="11"/>
      <ns0:c r="O110" s="37"/>
      <ns0:c r="P110" s="38" t="n">
        <ns0:f aca="false">N110-O110</ns0:f>
        <ns0:v>0</ns0:v>
      </ns0:c>
      <ns0:c r="Q110" s="35"/>
      <ns0:c r="R110" s="35"/>
      <ns0:c r="S110" s="39"/>
      <ns0:c r="T110" s="40"/>
      <ns0:c r="U110" s="35"/>
    </ns0:row>
    <ns0:row r="111" customFormat="false" ht="15" hidden="false" customHeight="true" outlineLevel="0" collapsed="false">
      <ns0:c r="A111" s="35"/>
      <ns0:c r="B111" s="36"/>
      <ns0:c r="C111" s="35"/>
      <ns0:c r="D111" s="35"/>
      <ns0:c r="E111" s="35"/>
      <ns0:c r="F111" s="35"/>
      <ns0:c r="G111" s="35"/>
      <ns0:c r="H111" s="35"/>
      <ns0:c r="I111" s="35"/>
      <ns0:c r="J111" s="35"/>
      <ns0:c r="K111" s="35"/>
      <ns0:c r="L111" s="11"/>
      <ns0:c r="M111" s="11"/>
      <ns0:c r="N111" s="11"/>
      <ns0:c r="O111" s="37"/>
      <ns0:c r="P111" s="38" t="n">
        <ns0:f aca="false">N111-O111</ns0:f>
        <ns0:v>0</ns0:v>
      </ns0:c>
      <ns0:c r="Q111" s="35"/>
      <ns0:c r="R111" s="35"/>
      <ns0:c r="S111" s="39"/>
      <ns0:c r="T111" s="40"/>
      <ns0:c r="U111" s="35"/>
    </ns0:row>
    <ns0:row r="112" customFormat="false" ht="15" hidden="false" customHeight="true" outlineLevel="0" collapsed="false">
      <ns0:c r="A112" s="35"/>
      <ns0:c r="B112" s="36"/>
      <ns0:c r="C112" s="35"/>
      <ns0:c r="D112" s="35"/>
      <ns0:c r="E112" s="35"/>
      <ns0:c r="F112" s="35"/>
      <ns0:c r="G112" s="35"/>
      <ns0:c r="H112" s="35"/>
      <ns0:c r="I112" s="35"/>
      <ns0:c r="J112" s="35"/>
      <ns0:c r="K112" s="35"/>
      <ns0:c r="L112" s="11"/>
      <ns0:c r="M112" s="11"/>
      <ns0:c r="N112" s="11"/>
      <ns0:c r="O112" s="37"/>
      <ns0:c r="P112" s="38" t="n">
        <ns0:f aca="false">N112-O112</ns0:f>
        <ns0:v>0</ns0:v>
      </ns0:c>
      <ns0:c r="Q112" s="35"/>
      <ns0:c r="R112" s="35"/>
      <ns0:c r="S112" s="39"/>
      <ns0:c r="T112" s="40"/>
      <ns0:c r="U112" s="35"/>
    </ns0:row>
    <ns0:row r="113" customFormat="false" ht="15" hidden="false" customHeight="true" outlineLevel="0" collapsed="false">
      <ns0:c r="A113" s="35"/>
      <ns0:c r="B113" s="36"/>
      <ns0:c r="C113" s="35"/>
      <ns0:c r="D113" s="35"/>
      <ns0:c r="E113" s="35"/>
      <ns0:c r="F113" s="35"/>
      <ns0:c r="G113" s="35"/>
      <ns0:c r="H113" s="35"/>
      <ns0:c r="I113" s="35"/>
      <ns0:c r="J113" s="35"/>
      <ns0:c r="K113" s="35"/>
      <ns0:c r="L113" s="11"/>
      <ns0:c r="M113" s="11"/>
      <ns0:c r="N113" s="11"/>
      <ns0:c r="O113" s="37"/>
      <ns0:c r="P113" s="38" t="n">
        <ns0:f aca="false">N113-O113</ns0:f>
        <ns0:v>0</ns0:v>
      </ns0:c>
      <ns0:c r="Q113" s="35"/>
      <ns0:c r="R113" s="35"/>
      <ns0:c r="S113" s="39"/>
      <ns0:c r="T113" s="40"/>
      <ns0:c r="U113" s="35"/>
    </ns0:row>
    <ns0:row r="114" customFormat="false" ht="15" hidden="false" customHeight="true" outlineLevel="0" collapsed="false">
      <ns0:c r="A114" s="35"/>
      <ns0:c r="B114" s="36"/>
      <ns0:c r="C114" s="35"/>
      <ns0:c r="D114" s="35"/>
      <ns0:c r="E114" s="35"/>
      <ns0:c r="F114" s="35"/>
      <ns0:c r="G114" s="35"/>
      <ns0:c r="H114" s="35"/>
      <ns0:c r="I114" s="35"/>
      <ns0:c r="J114" s="35"/>
      <ns0:c r="K114" s="35"/>
      <ns0:c r="L114" s="11"/>
      <ns0:c r="M114" s="11"/>
      <ns0:c r="N114" s="11"/>
      <ns0:c r="O114" s="37"/>
      <ns0:c r="P114" s="38" t="n">
        <ns0:f aca="false">N114-O114</ns0:f>
        <ns0:v>0</ns0:v>
      </ns0:c>
      <ns0:c r="Q114" s="35"/>
      <ns0:c r="R114" s="35"/>
      <ns0:c r="S114" s="39"/>
      <ns0:c r="T114" s="40"/>
      <ns0:c r="U114" s="35"/>
    </ns0:row>
    <ns0:row r="115" customFormat="false" ht="15" hidden="false" customHeight="true" outlineLevel="0" collapsed="false">
      <ns0:c r="A115" s="35"/>
      <ns0:c r="B115" s="36"/>
      <ns0:c r="C115" s="35"/>
      <ns0:c r="D115" s="35"/>
      <ns0:c r="E115" s="35"/>
      <ns0:c r="F115" s="35"/>
      <ns0:c r="G115" s="35"/>
      <ns0:c r="H115" s="35"/>
      <ns0:c r="I115" s="35"/>
      <ns0:c r="J115" s="35"/>
      <ns0:c r="K115" s="35"/>
      <ns0:c r="L115" s="11"/>
      <ns0:c r="M115" s="11"/>
      <ns0:c r="N115" s="11"/>
      <ns0:c r="O115" s="37"/>
      <ns0:c r="P115" s="38" t="n">
        <ns0:f aca="false">N115-O115</ns0:f>
        <ns0:v>0</ns0:v>
      </ns0:c>
      <ns0:c r="Q115" s="35"/>
      <ns0:c r="R115" s="35"/>
      <ns0:c r="S115" s="39"/>
      <ns0:c r="T115" s="40"/>
      <ns0:c r="U115" s="35"/>
    </ns0:row>
    <ns0:row r="116" customFormat="false" ht="15" hidden="false" customHeight="true" outlineLevel="0" collapsed="false">
      <ns0:c r="A116" s="35"/>
      <ns0:c r="B116" s="36"/>
      <ns0:c r="C116" s="35"/>
      <ns0:c r="D116" s="35"/>
      <ns0:c r="E116" s="35"/>
      <ns0:c r="F116" s="35"/>
      <ns0:c r="G116" s="35"/>
      <ns0:c r="H116" s="35"/>
      <ns0:c r="I116" s="35"/>
      <ns0:c r="J116" s="35"/>
      <ns0:c r="K116" s="35"/>
      <ns0:c r="L116" s="11"/>
      <ns0:c r="M116" s="11"/>
      <ns0:c r="N116" s="11"/>
      <ns0:c r="O116" s="37"/>
      <ns0:c r="P116" s="38" t="n">
        <ns0:f aca="false">N116-O116</ns0:f>
        <ns0:v>0</ns0:v>
      </ns0:c>
      <ns0:c r="Q116" s="35"/>
      <ns0:c r="R116" s="35"/>
      <ns0:c r="S116" s="39"/>
      <ns0:c r="T116" s="40"/>
      <ns0:c r="U116" s="35"/>
    </ns0:row>
    <ns0:row r="117" customFormat="false" ht="15" hidden="false" customHeight="true" outlineLevel="0" collapsed="false">
      <ns0:c r="A117" s="35"/>
      <ns0:c r="B117" s="36"/>
      <ns0:c r="C117" s="35"/>
      <ns0:c r="D117" s="35"/>
      <ns0:c r="E117" s="35"/>
      <ns0:c r="F117" s="35"/>
      <ns0:c r="G117" s="35"/>
      <ns0:c r="H117" s="35"/>
      <ns0:c r="I117" s="35"/>
      <ns0:c r="J117" s="35"/>
      <ns0:c r="K117" s="35"/>
      <ns0:c r="L117" s="11"/>
      <ns0:c r="M117" s="11"/>
      <ns0:c r="N117" s="11"/>
      <ns0:c r="O117" s="37"/>
      <ns0:c r="P117" s="38" t="n">
        <ns0:f aca="false">N117-O117</ns0:f>
        <ns0:v>0</ns0:v>
      </ns0:c>
      <ns0:c r="Q117" s="35"/>
      <ns0:c r="R117" s="35"/>
      <ns0:c r="S117" s="39"/>
      <ns0:c r="T117" s="40"/>
      <ns0:c r="U117" s="35"/>
    </ns0:row>
    <ns0:row r="118" customFormat="false" ht="15" hidden="false" customHeight="true" outlineLevel="0" collapsed="false">
      <ns0:c r="A118" s="35"/>
      <ns0:c r="B118" s="36"/>
      <ns0:c r="C118" s="35"/>
      <ns0:c r="D118" s="35"/>
      <ns0:c r="E118" s="35"/>
      <ns0:c r="F118" s="35"/>
      <ns0:c r="G118" s="35"/>
      <ns0:c r="H118" s="35"/>
      <ns0:c r="I118" s="35"/>
      <ns0:c r="J118" s="35"/>
      <ns0:c r="K118" s="35"/>
      <ns0:c r="L118" s="11"/>
      <ns0:c r="M118" s="11"/>
      <ns0:c r="N118" s="11"/>
      <ns0:c r="O118" s="37"/>
      <ns0:c r="P118" s="38" t="n">
        <ns0:f aca="false">N118-O118</ns0:f>
        <ns0:v>0</ns0:v>
      </ns0:c>
      <ns0:c r="Q118" s="35"/>
      <ns0:c r="R118" s="35"/>
      <ns0:c r="S118" s="39"/>
      <ns0:c r="T118" s="40"/>
      <ns0:c r="U118" s="35"/>
    </ns0:row>
    <ns0:row r="119" customFormat="false" ht="15" hidden="false" customHeight="true" outlineLevel="0" collapsed="false">
      <ns0:c r="A119" s="35"/>
      <ns0:c r="B119" s="36"/>
      <ns0:c r="C119" s="35"/>
      <ns0:c r="D119" s="35"/>
      <ns0:c r="E119" s="35"/>
      <ns0:c r="F119" s="35"/>
      <ns0:c r="G119" s="35"/>
      <ns0:c r="H119" s="35"/>
      <ns0:c r="I119" s="35"/>
      <ns0:c r="J119" s="35"/>
      <ns0:c r="K119" s="35"/>
      <ns0:c r="L119" s="11"/>
      <ns0:c r="M119" s="11"/>
      <ns0:c r="N119" s="11"/>
      <ns0:c r="O119" s="37"/>
      <ns0:c r="P119" s="38" t="n">
        <ns0:f aca="false">N119-O119</ns0:f>
        <ns0:v>0</ns0:v>
      </ns0:c>
      <ns0:c r="Q119" s="35"/>
      <ns0:c r="R119" s="35"/>
      <ns0:c r="S119" s="39"/>
      <ns0:c r="T119" s="40"/>
      <ns0:c r="U119" s="35"/>
    </ns0:row>
    <ns0:row r="120" customFormat="false" ht="15" hidden="false" customHeight="true" outlineLevel="0" collapsed="false">
      <ns0:c r="A120" s="35"/>
      <ns0:c r="B120" s="36"/>
      <ns0:c r="C120" s="35"/>
      <ns0:c r="D120" s="35"/>
      <ns0:c r="E120" s="35"/>
      <ns0:c r="F120" s="35"/>
      <ns0:c r="G120" s="35"/>
      <ns0:c r="H120" s="35"/>
      <ns0:c r="I120" s="35"/>
      <ns0:c r="J120" s="35"/>
      <ns0:c r="K120" s="35"/>
      <ns0:c r="L120" s="11"/>
      <ns0:c r="M120" s="11"/>
      <ns0:c r="N120" s="11"/>
      <ns0:c r="O120" s="37"/>
      <ns0:c r="P120" s="38" t="n">
        <ns0:f aca="false">N120-O120</ns0:f>
        <ns0:v>0</ns0:v>
      </ns0:c>
      <ns0:c r="Q120" s="35"/>
      <ns0:c r="R120" s="35"/>
      <ns0:c r="S120" s="39"/>
      <ns0:c r="T120" s="40"/>
      <ns0:c r="U120" s="35"/>
    </ns0:row>
    <ns0:row r="121" customFormat="false" ht="15" hidden="false" customHeight="true" outlineLevel="0" collapsed="false">
      <ns0:c r="A121" s="35"/>
      <ns0:c r="B121" s="36"/>
      <ns0:c r="C121" s="35"/>
      <ns0:c r="D121" s="35"/>
      <ns0:c r="E121" s="35"/>
      <ns0:c r="F121" s="35"/>
      <ns0:c r="G121" s="35"/>
      <ns0:c r="H121" s="35"/>
      <ns0:c r="I121" s="35"/>
      <ns0:c r="J121" s="35"/>
      <ns0:c r="K121" s="35"/>
      <ns0:c r="L121" s="11"/>
      <ns0:c r="M121" s="11"/>
      <ns0:c r="N121" s="11"/>
      <ns0:c r="O121" s="37"/>
      <ns0:c r="P121" s="38" t="n">
        <ns0:f aca="false">N121-O121</ns0:f>
        <ns0:v>0</ns0:v>
      </ns0:c>
      <ns0:c r="Q121" s="35"/>
      <ns0:c r="R121" s="35"/>
      <ns0:c r="S121" s="39"/>
      <ns0:c r="T121" s="40"/>
      <ns0:c r="U121" s="35"/>
    </ns0:row>
    <ns0:row r="122" customFormat="false" ht="15" hidden="false" customHeight="true" outlineLevel="0" collapsed="false">
      <ns0:c r="A122" s="35"/>
      <ns0:c r="B122" s="36"/>
      <ns0:c r="C122" s="35"/>
      <ns0:c r="D122" s="35"/>
      <ns0:c r="E122" s="35"/>
      <ns0:c r="F122" s="35"/>
      <ns0:c r="G122" s="35"/>
      <ns0:c r="H122" s="35"/>
      <ns0:c r="I122" s="35"/>
      <ns0:c r="J122" s="35"/>
      <ns0:c r="K122" s="35"/>
      <ns0:c r="L122" s="11"/>
      <ns0:c r="M122" s="11"/>
      <ns0:c r="N122" s="11"/>
      <ns0:c r="O122" s="37"/>
      <ns0:c r="P122" s="38" t="n">
        <ns0:f aca="false">N122-O122</ns0:f>
        <ns0:v>0</ns0:v>
      </ns0:c>
      <ns0:c r="Q122" s="35"/>
      <ns0:c r="R122" s="35"/>
      <ns0:c r="S122" s="39"/>
      <ns0:c r="T122" s="40"/>
      <ns0:c r="U122" s="35"/>
    </ns0:row>
    <ns0:row r="123" customFormat="false" ht="15" hidden="false" customHeight="true" outlineLevel="0" collapsed="false">
      <ns0:c r="A123" s="35"/>
      <ns0:c r="B123" s="36"/>
      <ns0:c r="C123" s="35"/>
      <ns0:c r="D123" s="35"/>
      <ns0:c r="E123" s="35"/>
      <ns0:c r="F123" s="35"/>
      <ns0:c r="G123" s="35"/>
      <ns0:c r="H123" s="35"/>
      <ns0:c r="I123" s="35"/>
      <ns0:c r="J123" s="35"/>
      <ns0:c r="K123" s="35"/>
      <ns0:c r="L123" s="11"/>
      <ns0:c r="M123" s="11"/>
      <ns0:c r="N123" s="11"/>
      <ns0:c r="O123" s="37"/>
      <ns0:c r="P123" s="38" t="n">
        <ns0:f aca="false">N123-O123</ns0:f>
        <ns0:v>0</ns0:v>
      </ns0:c>
      <ns0:c r="Q123" s="35"/>
      <ns0:c r="R123" s="35"/>
      <ns0:c r="S123" s="39"/>
      <ns0:c r="T123" s="40"/>
      <ns0:c r="U123" s="35"/>
    </ns0:row>
    <ns0:row r="124" customFormat="false" ht="15" hidden="false" customHeight="true" outlineLevel="0" collapsed="false">
      <ns0:c r="A124" s="35"/>
      <ns0:c r="B124" s="36"/>
      <ns0:c r="C124" s="35"/>
      <ns0:c r="D124" s="35"/>
      <ns0:c r="E124" s="35"/>
      <ns0:c r="F124" s="35"/>
      <ns0:c r="G124" s="35"/>
      <ns0:c r="H124" s="35"/>
      <ns0:c r="I124" s="35"/>
      <ns0:c r="J124" s="35"/>
      <ns0:c r="K124" s="35"/>
      <ns0:c r="L124" s="11"/>
      <ns0:c r="M124" s="11"/>
      <ns0:c r="N124" s="11"/>
      <ns0:c r="O124" s="37"/>
      <ns0:c r="P124" s="38" t="n">
        <ns0:f aca="false">N124-O124</ns0:f>
        <ns0:v>0</ns0:v>
      </ns0:c>
      <ns0:c r="Q124" s="35"/>
      <ns0:c r="R124" s="35"/>
      <ns0:c r="S124" s="39"/>
      <ns0:c r="T124" s="40"/>
      <ns0:c r="U124" s="35"/>
    </ns0:row>
    <ns0:row r="125" customFormat="false" ht="15" hidden="false" customHeight="true" outlineLevel="0" collapsed="false">
      <ns0:c r="A125" s="35"/>
      <ns0:c r="B125" s="36"/>
      <ns0:c r="C125" s="35"/>
      <ns0:c r="D125" s="35"/>
      <ns0:c r="E125" s="35"/>
      <ns0:c r="F125" s="35"/>
      <ns0:c r="G125" s="35"/>
      <ns0:c r="H125" s="35"/>
      <ns0:c r="I125" s="35"/>
      <ns0:c r="J125" s="35"/>
      <ns0:c r="K125" s="35"/>
      <ns0:c r="L125" s="11"/>
      <ns0:c r="M125" s="11"/>
      <ns0:c r="N125" s="11"/>
      <ns0:c r="O125" s="37"/>
      <ns0:c r="P125" s="38" t="n">
        <ns0:f aca="false">N125-O125</ns0:f>
        <ns0:v>0</ns0:v>
      </ns0:c>
      <ns0:c r="Q125" s="35"/>
      <ns0:c r="R125" s="35"/>
      <ns0:c r="S125" s="39"/>
      <ns0:c r="T125" s="40"/>
      <ns0:c r="U125" s="35"/>
    </ns0:row>
    <ns0:row r="126" customFormat="false" ht="15" hidden="false" customHeight="true" outlineLevel="0" collapsed="false">
      <ns0:c r="A126" s="35"/>
      <ns0:c r="B126" s="36"/>
      <ns0:c r="C126" s="35"/>
      <ns0:c r="D126" s="35"/>
      <ns0:c r="E126" s="35"/>
      <ns0:c r="F126" s="35"/>
      <ns0:c r="G126" s="35"/>
      <ns0:c r="H126" s="35"/>
      <ns0:c r="I126" s="35"/>
      <ns0:c r="J126" s="35"/>
      <ns0:c r="K126" s="35"/>
      <ns0:c r="L126" s="11"/>
      <ns0:c r="M126" s="11"/>
      <ns0:c r="N126" s="11"/>
      <ns0:c r="O126" s="37"/>
      <ns0:c r="P126" s="38" t="n">
        <ns0:f aca="false">N126-O126</ns0:f>
        <ns0:v>0</ns0:v>
      </ns0:c>
      <ns0:c r="Q126" s="35"/>
      <ns0:c r="R126" s="35"/>
      <ns0:c r="S126" s="39"/>
      <ns0:c r="T126" s="40"/>
      <ns0:c r="U126" s="35"/>
    </ns0:row>
    <ns0:row r="127" customFormat="false" ht="15" hidden="false" customHeight="true" outlineLevel="0" collapsed="false">
      <ns0:c r="A127" s="35"/>
      <ns0:c r="B127" s="36"/>
      <ns0:c r="C127" s="35"/>
      <ns0:c r="D127" s="35"/>
      <ns0:c r="E127" s="35"/>
      <ns0:c r="F127" s="35"/>
      <ns0:c r="G127" s="35"/>
      <ns0:c r="H127" s="35"/>
      <ns0:c r="I127" s="35"/>
      <ns0:c r="J127" s="35"/>
      <ns0:c r="K127" s="35"/>
      <ns0:c r="L127" s="11"/>
      <ns0:c r="M127" s="11"/>
      <ns0:c r="N127" s="11"/>
      <ns0:c r="O127" s="37"/>
      <ns0:c r="P127" s="38" t="n">
        <ns0:f aca="false">N127-O127</ns0:f>
        <ns0:v>0</ns0:v>
      </ns0:c>
      <ns0:c r="Q127" s="35"/>
      <ns0:c r="R127" s="35"/>
      <ns0:c r="S127" s="39"/>
      <ns0:c r="T127" s="40"/>
      <ns0:c r="U127" s="35"/>
    </ns0:row>
    <ns0:row r="128" customFormat="false" ht="15" hidden="false" customHeight="true" outlineLevel="0" collapsed="false">
      <ns0:c r="A128" s="35"/>
      <ns0:c r="B128" s="36"/>
      <ns0:c r="C128" s="35"/>
      <ns0:c r="D128" s="35"/>
      <ns0:c r="E128" s="35"/>
      <ns0:c r="F128" s="35"/>
      <ns0:c r="G128" s="35"/>
      <ns0:c r="H128" s="35"/>
      <ns0:c r="I128" s="35"/>
      <ns0:c r="J128" s="35"/>
      <ns0:c r="K128" s="35"/>
      <ns0:c r="L128" s="11"/>
      <ns0:c r="M128" s="11"/>
      <ns0:c r="N128" s="11"/>
      <ns0:c r="O128" s="37"/>
      <ns0:c r="P128" s="38" t="n">
        <ns0:f aca="false">N128-O128</ns0:f>
        <ns0:v>0</ns0:v>
      </ns0:c>
      <ns0:c r="Q128" s="35"/>
      <ns0:c r="R128" s="35"/>
      <ns0:c r="S128" s="39"/>
      <ns0:c r="T128" s="40"/>
      <ns0:c r="U128" s="35"/>
    </ns0:row>
    <ns0:row r="129" customFormat="false" ht="15" hidden="false" customHeight="true" outlineLevel="0" collapsed="false">
      <ns0:c r="A129" s="35"/>
      <ns0:c r="B129" s="36"/>
      <ns0:c r="C129" s="35"/>
      <ns0:c r="D129" s="35"/>
      <ns0:c r="E129" s="35"/>
      <ns0:c r="F129" s="35"/>
      <ns0:c r="G129" s="35"/>
      <ns0:c r="H129" s="35"/>
      <ns0:c r="I129" s="35"/>
      <ns0:c r="J129" s="35"/>
      <ns0:c r="K129" s="35"/>
      <ns0:c r="L129" s="11"/>
      <ns0:c r="M129" s="11"/>
      <ns0:c r="N129" s="11"/>
      <ns0:c r="O129" s="37"/>
      <ns0:c r="P129" s="38" t="n">
        <ns0:f aca="false">N129-O129</ns0:f>
        <ns0:v>0</ns0:v>
      </ns0:c>
      <ns0:c r="Q129" s="35"/>
      <ns0:c r="R129" s="35"/>
      <ns0:c r="S129" s="39"/>
      <ns0:c r="T129" s="40"/>
      <ns0:c r="U129" s="35"/>
    </ns0:row>
    <ns0:row r="130" customFormat="false" ht="15" hidden="false" customHeight="true" outlineLevel="0" collapsed="false">
      <ns0:c r="A130" s="35"/>
      <ns0:c r="B130" s="36"/>
      <ns0:c r="C130" s="35"/>
      <ns0:c r="D130" s="35"/>
      <ns0:c r="E130" s="35"/>
      <ns0:c r="F130" s="35"/>
      <ns0:c r="G130" s="35"/>
      <ns0:c r="H130" s="35"/>
      <ns0:c r="I130" s="35"/>
      <ns0:c r="J130" s="35"/>
      <ns0:c r="K130" s="35"/>
      <ns0:c r="L130" s="11"/>
      <ns0:c r="M130" s="11"/>
      <ns0:c r="N130" s="11"/>
      <ns0:c r="O130" s="37"/>
      <ns0:c r="P130" s="38" t="n">
        <ns0:f aca="false">N130-O130</ns0:f>
        <ns0:v>0</ns0:v>
      </ns0:c>
      <ns0:c r="Q130" s="35"/>
      <ns0:c r="R130" s="35"/>
      <ns0:c r="S130" s="39"/>
      <ns0:c r="T130" s="40"/>
      <ns0:c r="U130" s="35"/>
    </ns0:row>
    <ns0:row r="131" customFormat="false" ht="15" hidden="false" customHeight="true" outlineLevel="0" collapsed="false">
      <ns0:c r="A131" s="35"/>
      <ns0:c r="B131" s="36"/>
      <ns0:c r="C131" s="35"/>
      <ns0:c r="D131" s="35"/>
      <ns0:c r="E131" s="35"/>
      <ns0:c r="F131" s="35"/>
      <ns0:c r="G131" s="35"/>
      <ns0:c r="H131" s="35"/>
      <ns0:c r="I131" s="35"/>
      <ns0:c r="J131" s="35"/>
      <ns0:c r="K131" s="35"/>
      <ns0:c r="L131" s="11"/>
      <ns0:c r="M131" s="11"/>
      <ns0:c r="N131" s="11"/>
      <ns0:c r="O131" s="37"/>
      <ns0:c r="P131" s="38" t="n">
        <ns0:f aca="false">N131-O131</ns0:f>
        <ns0:v>0</ns0:v>
      </ns0:c>
      <ns0:c r="Q131" s="35"/>
      <ns0:c r="R131" s="35"/>
      <ns0:c r="S131" s="39"/>
      <ns0:c r="T131" s="40"/>
      <ns0:c r="U131" s="35"/>
    </ns0:row>
    <ns0:row r="132" customFormat="false" ht="15" hidden="false" customHeight="true" outlineLevel="0" collapsed="false">
      <ns0:c r="A132" s="35"/>
      <ns0:c r="B132" s="36"/>
      <ns0:c r="C132" s="35"/>
      <ns0:c r="D132" s="35"/>
      <ns0:c r="E132" s="35"/>
      <ns0:c r="F132" s="35"/>
      <ns0:c r="G132" s="35"/>
      <ns0:c r="H132" s="35"/>
      <ns0:c r="I132" s="35"/>
      <ns0:c r="J132" s="35"/>
      <ns0:c r="K132" s="35"/>
      <ns0:c r="L132" s="11"/>
      <ns0:c r="M132" s="11"/>
      <ns0:c r="N132" s="11"/>
      <ns0:c r="O132" s="37"/>
      <ns0:c r="P132" s="38" t="n">
        <ns0:f aca="false">N132-O132</ns0:f>
        <ns0:v>0</ns0:v>
      </ns0:c>
      <ns0:c r="Q132" s="35"/>
      <ns0:c r="R132" s="35"/>
      <ns0:c r="S132" s="39"/>
      <ns0:c r="T132" s="40"/>
      <ns0:c r="U132" s="35"/>
    </ns0:row>
    <ns0:row r="133" customFormat="false" ht="15" hidden="false" customHeight="true" outlineLevel="0" collapsed="false">
      <ns0:c r="A133" s="35"/>
      <ns0:c r="B133" s="36"/>
      <ns0:c r="C133" s="35"/>
      <ns0:c r="D133" s="35"/>
      <ns0:c r="E133" s="35"/>
      <ns0:c r="F133" s="35"/>
      <ns0:c r="G133" s="35"/>
      <ns0:c r="H133" s="35"/>
      <ns0:c r="I133" s="35"/>
      <ns0:c r="J133" s="35"/>
      <ns0:c r="K133" s="35"/>
      <ns0:c r="L133" s="11"/>
      <ns0:c r="M133" s="11"/>
      <ns0:c r="N133" s="11"/>
      <ns0:c r="O133" s="37"/>
      <ns0:c r="P133" s="38" t="n">
        <ns0:f aca="false">N133-O133</ns0:f>
        <ns0:v>0</ns0:v>
      </ns0:c>
      <ns0:c r="Q133" s="35"/>
      <ns0:c r="R133" s="35"/>
      <ns0:c r="S133" s="39"/>
      <ns0:c r="T133" s="40"/>
      <ns0:c r="U133" s="35"/>
    </ns0:row>
    <ns0:row r="134" customFormat="false" ht="15" hidden="false" customHeight="true" outlineLevel="0" collapsed="false">
      <ns0:c r="A134" s="35"/>
      <ns0:c r="B134" s="36"/>
      <ns0:c r="C134" s="35"/>
      <ns0:c r="D134" s="35"/>
      <ns0:c r="E134" s="35"/>
      <ns0:c r="F134" s="35"/>
      <ns0:c r="G134" s="35"/>
      <ns0:c r="H134" s="35"/>
      <ns0:c r="I134" s="35"/>
      <ns0:c r="J134" s="35"/>
      <ns0:c r="K134" s="35"/>
      <ns0:c r="L134" s="11"/>
      <ns0:c r="M134" s="11"/>
      <ns0:c r="N134" s="11"/>
      <ns0:c r="O134" s="37"/>
      <ns0:c r="P134" s="38" t="n">
        <ns0:f aca="false">N134-O134</ns0:f>
        <ns0:v>0</ns0:v>
      </ns0:c>
      <ns0:c r="Q134" s="35"/>
      <ns0:c r="R134" s="35"/>
      <ns0:c r="S134" s="39"/>
      <ns0:c r="T134" s="40"/>
      <ns0:c r="U134" s="35"/>
    </ns0:row>
    <ns0:row r="135" customFormat="false" ht="15" hidden="false" customHeight="true" outlineLevel="0" collapsed="false">
      <ns0:c r="A135" s="35"/>
      <ns0:c r="B135" s="36"/>
      <ns0:c r="C135" s="35"/>
      <ns0:c r="D135" s="35"/>
      <ns0:c r="E135" s="35"/>
      <ns0:c r="F135" s="35"/>
      <ns0:c r="G135" s="35"/>
      <ns0:c r="H135" s="35"/>
      <ns0:c r="I135" s="35"/>
      <ns0:c r="J135" s="35"/>
      <ns0:c r="K135" s="35"/>
      <ns0:c r="L135" s="11"/>
      <ns0:c r="M135" s="11"/>
      <ns0:c r="N135" s="11"/>
      <ns0:c r="O135" s="37"/>
      <ns0:c r="P135" s="38" t="n">
        <ns0:f aca="false">N135-O135</ns0:f>
        <ns0:v>0</ns0:v>
      </ns0:c>
      <ns0:c r="Q135" s="35"/>
      <ns0:c r="R135" s="35"/>
      <ns0:c r="S135" s="39"/>
      <ns0:c r="T135" s="40"/>
      <ns0:c r="U135" s="35"/>
    </ns0:row>
    <ns0:row r="136" customFormat="false" ht="15" hidden="false" customHeight="true" outlineLevel="0" collapsed="false">
      <ns0:c r="A136" s="35"/>
      <ns0:c r="B136" s="36"/>
      <ns0:c r="C136" s="35"/>
      <ns0:c r="D136" s="35"/>
      <ns0:c r="E136" s="35"/>
      <ns0:c r="F136" s="35"/>
      <ns0:c r="G136" s="35"/>
      <ns0:c r="H136" s="35"/>
      <ns0:c r="I136" s="35"/>
      <ns0:c r="J136" s="35"/>
      <ns0:c r="K136" s="35"/>
      <ns0:c r="L136" s="11"/>
      <ns0:c r="M136" s="11"/>
      <ns0:c r="N136" s="11"/>
      <ns0:c r="O136" s="37"/>
      <ns0:c r="P136" s="38" t="n">
        <ns0:f aca="false">N136-O136</ns0:f>
        <ns0:v>0</ns0:v>
      </ns0:c>
      <ns0:c r="Q136" s="35"/>
      <ns0:c r="R136" s="35"/>
      <ns0:c r="S136" s="39"/>
      <ns0:c r="T136" s="40"/>
      <ns0:c r="U136" s="35"/>
    </ns0:row>
    <ns0:row r="137" customFormat="false" ht="15" hidden="false" customHeight="true" outlineLevel="0" collapsed="false">
      <ns0:c r="A137" s="35"/>
      <ns0:c r="B137" s="36"/>
      <ns0:c r="C137" s="35"/>
      <ns0:c r="D137" s="35"/>
      <ns0:c r="E137" s="35"/>
      <ns0:c r="F137" s="35"/>
      <ns0:c r="G137" s="35"/>
      <ns0:c r="H137" s="35"/>
      <ns0:c r="I137" s="35"/>
      <ns0:c r="J137" s="35"/>
      <ns0:c r="K137" s="35"/>
      <ns0:c r="L137" s="11"/>
      <ns0:c r="M137" s="11"/>
      <ns0:c r="N137" s="11"/>
      <ns0:c r="O137" s="37"/>
      <ns0:c r="P137" s="38" t="n">
        <ns0:f aca="false">N137-O137</ns0:f>
        <ns0:v>0</ns0:v>
      </ns0:c>
      <ns0:c r="Q137" s="35"/>
      <ns0:c r="R137" s="35"/>
      <ns0:c r="S137" s="39"/>
      <ns0:c r="T137" s="40"/>
      <ns0:c r="U137" s="35"/>
    </ns0:row>
    <ns0:row r="138" customFormat="false" ht="15" hidden="false" customHeight="true" outlineLevel="0" collapsed="false">
      <ns0:c r="A138" s="35"/>
      <ns0:c r="B138" s="36"/>
      <ns0:c r="C138" s="35"/>
      <ns0:c r="D138" s="35"/>
      <ns0:c r="E138" s="35"/>
      <ns0:c r="F138" s="35"/>
      <ns0:c r="G138" s="35"/>
      <ns0:c r="H138" s="35"/>
      <ns0:c r="I138" s="35"/>
      <ns0:c r="J138" s="35"/>
      <ns0:c r="K138" s="35"/>
      <ns0:c r="L138" s="11"/>
      <ns0:c r="M138" s="11"/>
      <ns0:c r="N138" s="11"/>
      <ns0:c r="O138" s="37"/>
      <ns0:c r="P138" s="38" t="n">
        <ns0:f aca="false">N138-O138</ns0:f>
        <ns0:v>0</ns0:v>
      </ns0:c>
      <ns0:c r="Q138" s="35"/>
      <ns0:c r="R138" s="35"/>
      <ns0:c r="S138" s="39"/>
      <ns0:c r="T138" s="40"/>
      <ns0:c r="U138" s="35"/>
    </ns0:row>
    <ns0:row r="139" customFormat="false" ht="15" hidden="false" customHeight="true" outlineLevel="0" collapsed="false">
      <ns0:c r="A139" s="35"/>
      <ns0:c r="B139" s="36"/>
      <ns0:c r="C139" s="35"/>
      <ns0:c r="D139" s="35"/>
      <ns0:c r="E139" s="35"/>
      <ns0:c r="F139" s="35"/>
      <ns0:c r="G139" s="35"/>
      <ns0:c r="H139" s="35"/>
      <ns0:c r="I139" s="35"/>
      <ns0:c r="J139" s="35"/>
      <ns0:c r="K139" s="35"/>
      <ns0:c r="L139" s="11"/>
      <ns0:c r="M139" s="11"/>
      <ns0:c r="N139" s="11"/>
      <ns0:c r="O139" s="37"/>
      <ns0:c r="P139" s="38" t="n">
        <ns0:f aca="false">N139-O139</ns0:f>
        <ns0:v>0</ns0:v>
      </ns0:c>
      <ns0:c r="Q139" s="35"/>
      <ns0:c r="R139" s="35"/>
      <ns0:c r="S139" s="39"/>
      <ns0:c r="T139" s="40"/>
      <ns0:c r="U139" s="35"/>
    </ns0:row>
    <ns0:row r="140" customFormat="false" ht="15" hidden="false" customHeight="true" outlineLevel="0" collapsed="false">
      <ns0:c r="A140" s="35"/>
      <ns0:c r="B140" s="36"/>
      <ns0:c r="C140" s="35"/>
      <ns0:c r="D140" s="35"/>
      <ns0:c r="E140" s="35"/>
      <ns0:c r="F140" s="35"/>
      <ns0:c r="G140" s="35"/>
      <ns0:c r="H140" s="35"/>
      <ns0:c r="I140" s="35"/>
      <ns0:c r="J140" s="35"/>
      <ns0:c r="K140" s="35"/>
      <ns0:c r="L140" s="11"/>
      <ns0:c r="M140" s="11"/>
      <ns0:c r="N140" s="11"/>
      <ns0:c r="O140" s="37"/>
      <ns0:c r="P140" s="38" t="n">
        <ns0:f aca="false">N140-O140</ns0:f>
        <ns0:v>0</ns0:v>
      </ns0:c>
      <ns0:c r="Q140" s="35"/>
      <ns0:c r="R140" s="35"/>
      <ns0:c r="S140" s="39"/>
      <ns0:c r="T140" s="40"/>
      <ns0:c r="U140" s="35"/>
    </ns0:row>
    <ns0:row r="141" customFormat="false" ht="15" hidden="false" customHeight="true" outlineLevel="0" collapsed="false">
      <ns0:c r="A141" s="35"/>
      <ns0:c r="B141" s="36"/>
      <ns0:c r="C141" s="35"/>
      <ns0:c r="D141" s="35"/>
      <ns0:c r="E141" s="35"/>
      <ns0:c r="F141" s="35"/>
      <ns0:c r="G141" s="35"/>
      <ns0:c r="H141" s="35"/>
      <ns0:c r="I141" s="35"/>
      <ns0:c r="J141" s="35"/>
      <ns0:c r="K141" s="35"/>
      <ns0:c r="L141" s="11"/>
      <ns0:c r="M141" s="11"/>
      <ns0:c r="N141" s="11"/>
      <ns0:c r="O141" s="37"/>
      <ns0:c r="P141" s="38" t="n">
        <ns0:f aca="false">N141-O141</ns0:f>
        <ns0:v>0</ns0:v>
      </ns0:c>
      <ns0:c r="Q141" s="35"/>
      <ns0:c r="R141" s="35"/>
      <ns0:c r="S141" s="39"/>
      <ns0:c r="T141" s="40"/>
      <ns0:c r="U141" s="35"/>
    </ns0:row>
    <ns0:row r="142" customFormat="false" ht="15" hidden="false" customHeight="true" outlineLevel="0" collapsed="false">
      <ns0:c r="A142" s="35"/>
      <ns0:c r="B142" s="36"/>
      <ns0:c r="C142" s="35"/>
      <ns0:c r="D142" s="35"/>
      <ns0:c r="E142" s="35"/>
      <ns0:c r="F142" s="35"/>
      <ns0:c r="G142" s="35"/>
      <ns0:c r="H142" s="35"/>
      <ns0:c r="I142" s="35"/>
      <ns0:c r="J142" s="35"/>
      <ns0:c r="K142" s="35"/>
      <ns0:c r="L142" s="11"/>
      <ns0:c r="M142" s="11"/>
      <ns0:c r="N142" s="11"/>
      <ns0:c r="O142" s="37"/>
      <ns0:c r="P142" s="38" t="n">
        <ns0:f aca="false">N142-O142</ns0:f>
        <ns0:v>0</ns0:v>
      </ns0:c>
      <ns0:c r="Q142" s="35"/>
      <ns0:c r="R142" s="35"/>
      <ns0:c r="S142" s="39"/>
      <ns0:c r="T142" s="40"/>
      <ns0:c r="U142" s="35"/>
    </ns0:row>
    <ns0:row r="143" customFormat="false" ht="15" hidden="false" customHeight="true" outlineLevel="0" collapsed="false">
      <ns0:c r="A143" s="35"/>
      <ns0:c r="B143" s="36"/>
      <ns0:c r="C143" s="35"/>
      <ns0:c r="D143" s="35"/>
      <ns0:c r="E143" s="35"/>
      <ns0:c r="F143" s="35"/>
      <ns0:c r="G143" s="35"/>
      <ns0:c r="H143" s="35"/>
      <ns0:c r="I143" s="35"/>
      <ns0:c r="J143" s="35"/>
      <ns0:c r="K143" s="35"/>
      <ns0:c r="L143" s="11"/>
      <ns0:c r="M143" s="11"/>
      <ns0:c r="N143" s="11"/>
      <ns0:c r="O143" s="37"/>
      <ns0:c r="P143" s="38" t="n">
        <ns0:f aca="false">N143-O143</ns0:f>
        <ns0:v>0</ns0:v>
      </ns0:c>
      <ns0:c r="Q143" s="35"/>
      <ns0:c r="R143" s="35"/>
      <ns0:c r="S143" s="39"/>
      <ns0:c r="T143" s="40"/>
      <ns0:c r="U143" s="35"/>
    </ns0:row>
    <ns0:row r="144" customFormat="false" ht="15" hidden="false" customHeight="true" outlineLevel="0" collapsed="false">
      <ns0:c r="A144" s="35"/>
      <ns0:c r="B144" s="36"/>
      <ns0:c r="C144" s="35"/>
      <ns0:c r="D144" s="35"/>
      <ns0:c r="E144" s="35"/>
      <ns0:c r="F144" s="35"/>
      <ns0:c r="G144" s="35"/>
      <ns0:c r="H144" s="35"/>
      <ns0:c r="I144" s="35"/>
      <ns0:c r="J144" s="35"/>
      <ns0:c r="K144" s="35"/>
      <ns0:c r="L144" s="11"/>
      <ns0:c r="M144" s="11"/>
      <ns0:c r="N144" s="11"/>
      <ns0:c r="O144" s="37"/>
      <ns0:c r="P144" s="38" t="n">
        <ns0:f aca="false">N144-O144</ns0:f>
        <ns0:v>0</ns0:v>
      </ns0:c>
      <ns0:c r="Q144" s="35"/>
      <ns0:c r="R144" s="35"/>
      <ns0:c r="S144" s="39"/>
      <ns0:c r="T144" s="40"/>
      <ns0:c r="U144" s="35"/>
    </ns0:row>
    <ns0:row r="145" customFormat="false" ht="15" hidden="false" customHeight="true" outlineLevel="0" collapsed="false">
      <ns0:c r="A145" s="35"/>
      <ns0:c r="B145" s="36"/>
      <ns0:c r="C145" s="35"/>
      <ns0:c r="D145" s="35"/>
      <ns0:c r="E145" s="35"/>
      <ns0:c r="F145" s="35"/>
      <ns0:c r="G145" s="35"/>
      <ns0:c r="H145" s="35"/>
      <ns0:c r="I145" s="35"/>
      <ns0:c r="J145" s="35"/>
      <ns0:c r="K145" s="35"/>
      <ns0:c r="L145" s="11"/>
      <ns0:c r="M145" s="11"/>
      <ns0:c r="N145" s="11"/>
      <ns0:c r="O145" s="37"/>
      <ns0:c r="P145" s="38" t="n">
        <ns0:f aca="false">N145-O145</ns0:f>
        <ns0:v>0</ns0:v>
      </ns0:c>
      <ns0:c r="Q145" s="35"/>
      <ns0:c r="R145" s="35"/>
      <ns0:c r="S145" s="39"/>
      <ns0:c r="T145" s="40"/>
      <ns0:c r="U145" s="35"/>
    </ns0:row>
    <ns0:row r="146" customFormat="false" ht="15" hidden="false" customHeight="true" outlineLevel="0" collapsed="false">
      <ns0:c r="A146" s="35"/>
      <ns0:c r="B146" s="36"/>
      <ns0:c r="C146" s="35"/>
      <ns0:c r="D146" s="35"/>
      <ns0:c r="E146" s="35"/>
      <ns0:c r="F146" s="35"/>
      <ns0:c r="G146" s="35"/>
      <ns0:c r="H146" s="35"/>
      <ns0:c r="I146" s="35"/>
      <ns0:c r="J146" s="35"/>
      <ns0:c r="K146" s="35"/>
      <ns0:c r="L146" s="11"/>
      <ns0:c r="M146" s="11"/>
      <ns0:c r="N146" s="11"/>
      <ns0:c r="O146" s="37"/>
      <ns0:c r="P146" s="38" t="n">
        <ns0:f aca="false">N146-O146</ns0:f>
        <ns0:v>0</ns0:v>
      </ns0:c>
      <ns0:c r="Q146" s="35"/>
      <ns0:c r="R146" s="35"/>
      <ns0:c r="S146" s="39"/>
      <ns0:c r="T146" s="40"/>
      <ns0:c r="U146" s="35"/>
    </ns0:row>
    <ns0:row r="147" customFormat="false" ht="15" hidden="false" customHeight="true" outlineLevel="0" collapsed="false">
      <ns0:c r="A147" s="35"/>
      <ns0:c r="B147" s="36"/>
      <ns0:c r="C147" s="35"/>
      <ns0:c r="D147" s="35"/>
      <ns0:c r="E147" s="35"/>
      <ns0:c r="F147" s="35"/>
      <ns0:c r="G147" s="35"/>
      <ns0:c r="H147" s="35"/>
      <ns0:c r="I147" s="35"/>
      <ns0:c r="J147" s="35"/>
      <ns0:c r="K147" s="35"/>
      <ns0:c r="L147" s="11"/>
      <ns0:c r="M147" s="11"/>
      <ns0:c r="N147" s="11"/>
      <ns0:c r="O147" s="37"/>
      <ns0:c r="P147" s="38" t="n">
        <ns0:f aca="false">N147-O147</ns0:f>
        <ns0:v>0</ns0:v>
      </ns0:c>
      <ns0:c r="Q147" s="35"/>
      <ns0:c r="R147" s="35"/>
      <ns0:c r="S147" s="39"/>
      <ns0:c r="T147" s="40"/>
      <ns0:c r="U147" s="35"/>
    </ns0:row>
    <ns0:row r="148" customFormat="false" ht="15" hidden="false" customHeight="true" outlineLevel="0" collapsed="false">
      <ns0:c r="A148" s="35"/>
      <ns0:c r="B148" s="36"/>
      <ns0:c r="C148" s="35"/>
      <ns0:c r="D148" s="35"/>
      <ns0:c r="E148" s="35"/>
      <ns0:c r="F148" s="35"/>
      <ns0:c r="G148" s="35"/>
      <ns0:c r="H148" s="35"/>
      <ns0:c r="I148" s="35"/>
      <ns0:c r="J148" s="35"/>
      <ns0:c r="K148" s="35"/>
      <ns0:c r="L148" s="11"/>
      <ns0:c r="M148" s="11"/>
      <ns0:c r="N148" s="11"/>
      <ns0:c r="O148" s="37"/>
      <ns0:c r="P148" s="38" t="n">
        <ns0:f aca="false">N148-O148</ns0:f>
        <ns0:v>0</ns0:v>
      </ns0:c>
      <ns0:c r="Q148" s="35"/>
      <ns0:c r="R148" s="35"/>
      <ns0:c r="S148" s="39"/>
      <ns0:c r="T148" s="40"/>
      <ns0:c r="U148" s="35"/>
    </ns0:row>
    <ns0:row r="149" customFormat="false" ht="15" hidden="false" customHeight="true" outlineLevel="0" collapsed="false">
      <ns0:c r="A149" s="35"/>
      <ns0:c r="B149" s="36"/>
      <ns0:c r="C149" s="35"/>
      <ns0:c r="D149" s="35"/>
      <ns0:c r="E149" s="35"/>
      <ns0:c r="F149" s="35"/>
      <ns0:c r="G149" s="35"/>
      <ns0:c r="H149" s="35"/>
      <ns0:c r="I149" s="35"/>
      <ns0:c r="J149" s="35"/>
      <ns0:c r="K149" s="35"/>
      <ns0:c r="L149" s="11"/>
      <ns0:c r="M149" s="11"/>
      <ns0:c r="N149" s="11"/>
      <ns0:c r="O149" s="37"/>
      <ns0:c r="P149" s="38" t="n">
        <ns0:f aca="false">N149-O149</ns0:f>
        <ns0:v>0</ns0:v>
      </ns0:c>
      <ns0:c r="Q149" s="35"/>
      <ns0:c r="R149" s="35"/>
      <ns0:c r="S149" s="39"/>
      <ns0:c r="T149" s="40"/>
      <ns0:c r="U149" s="35"/>
    </ns0:row>
    <ns0:row r="150" customFormat="false" ht="15" hidden="false" customHeight="true" outlineLevel="0" collapsed="false">
      <ns0:c r="A150" s="35"/>
      <ns0:c r="B150" s="36"/>
      <ns0:c r="C150" s="35"/>
      <ns0:c r="D150" s="35"/>
      <ns0:c r="E150" s="35"/>
      <ns0:c r="F150" s="35"/>
      <ns0:c r="G150" s="35"/>
      <ns0:c r="H150" s="35"/>
      <ns0:c r="I150" s="35"/>
      <ns0:c r="J150" s="35"/>
      <ns0:c r="K150" s="35"/>
      <ns0:c r="L150" s="11"/>
      <ns0:c r="M150" s="11"/>
      <ns0:c r="N150" s="11"/>
      <ns0:c r="O150" s="37"/>
      <ns0:c r="P150" s="38" t="n">
        <ns0:f aca="false">N150-O150</ns0:f>
        <ns0:v>0</ns0:v>
      </ns0:c>
      <ns0:c r="Q150" s="35"/>
      <ns0:c r="R150" s="35"/>
      <ns0:c r="S150" s="39"/>
      <ns0:c r="T150" s="40"/>
      <ns0:c r="U150" s="35"/>
    </ns0:row>
    <ns0:row r="151" customFormat="false" ht="15" hidden="false" customHeight="true" outlineLevel="0" collapsed="false">
      <ns0:c r="A151" s="35"/>
      <ns0:c r="B151" s="36"/>
      <ns0:c r="C151" s="35"/>
      <ns0:c r="D151" s="35"/>
      <ns0:c r="E151" s="35"/>
      <ns0:c r="F151" s="35"/>
      <ns0:c r="G151" s="35"/>
      <ns0:c r="H151" s="35"/>
      <ns0:c r="I151" s="35"/>
      <ns0:c r="J151" s="35"/>
      <ns0:c r="K151" s="35"/>
      <ns0:c r="L151" s="11"/>
      <ns0:c r="M151" s="11"/>
      <ns0:c r="N151" s="11"/>
      <ns0:c r="O151" s="37"/>
      <ns0:c r="P151" s="38" t="n">
        <ns0:f aca="false">N151-O151</ns0:f>
        <ns0:v>0</ns0:v>
      </ns0:c>
      <ns0:c r="Q151" s="35"/>
      <ns0:c r="R151" s="35"/>
      <ns0:c r="S151" s="39"/>
      <ns0:c r="T151" s="40"/>
      <ns0:c r="U151" s="35"/>
    </ns0:row>
    <ns0:row r="152" customFormat="false" ht="15" hidden="false" customHeight="true" outlineLevel="0" collapsed="false">
      <ns0:c r="A152" s="35"/>
      <ns0:c r="B152" s="36"/>
      <ns0:c r="C152" s="35"/>
      <ns0:c r="D152" s="35"/>
      <ns0:c r="E152" s="35"/>
      <ns0:c r="F152" s="35"/>
      <ns0:c r="G152" s="35"/>
      <ns0:c r="H152" s="35"/>
      <ns0:c r="I152" s="35"/>
      <ns0:c r="J152" s="35"/>
      <ns0:c r="K152" s="35"/>
      <ns0:c r="L152" s="11"/>
      <ns0:c r="M152" s="11"/>
      <ns0:c r="N152" s="11"/>
      <ns0:c r="O152" s="37"/>
      <ns0:c r="P152" s="38" t="n">
        <ns0:f aca="false">N152-O152</ns0:f>
        <ns0:v>0</ns0:v>
      </ns0:c>
      <ns0:c r="Q152" s="35"/>
      <ns0:c r="R152" s="35"/>
      <ns0:c r="S152" s="39"/>
      <ns0:c r="T152" s="40"/>
      <ns0:c r="U152" s="35"/>
    </ns0:row>
    <ns0:row r="153" customFormat="false" ht="15" hidden="false" customHeight="true" outlineLevel="0" collapsed="false">
      <ns0:c r="A153" s="35"/>
      <ns0:c r="B153" s="36"/>
      <ns0:c r="C153" s="35"/>
      <ns0:c r="D153" s="35"/>
      <ns0:c r="E153" s="35"/>
      <ns0:c r="F153" s="35"/>
      <ns0:c r="G153" s="35"/>
      <ns0:c r="H153" s="35"/>
      <ns0:c r="I153" s="35"/>
      <ns0:c r="J153" s="35"/>
      <ns0:c r="K153" s="35"/>
      <ns0:c r="L153" s="11"/>
      <ns0:c r="M153" s="11"/>
      <ns0:c r="N153" s="11"/>
      <ns0:c r="O153" s="37"/>
      <ns0:c r="P153" s="38" t="n">
        <ns0:f aca="false">N153-O153</ns0:f>
        <ns0:v>0</ns0:v>
      </ns0:c>
      <ns0:c r="Q153" s="35"/>
      <ns0:c r="R153" s="35"/>
      <ns0:c r="S153" s="39"/>
      <ns0:c r="T153" s="40"/>
      <ns0:c r="U153" s="35"/>
    </ns0:row>
    <ns0:row r="154" customFormat="false" ht="15" hidden="false" customHeight="true" outlineLevel="0" collapsed="false">
      <ns0:c r="A154" s="35"/>
      <ns0:c r="B154" s="36"/>
      <ns0:c r="C154" s="35"/>
      <ns0:c r="D154" s="35"/>
      <ns0:c r="E154" s="35"/>
      <ns0:c r="F154" s="35"/>
      <ns0:c r="G154" s="35"/>
      <ns0:c r="H154" s="35"/>
      <ns0:c r="I154" s="35"/>
      <ns0:c r="J154" s="35"/>
      <ns0:c r="K154" s="35"/>
      <ns0:c r="L154" s="11"/>
      <ns0:c r="M154" s="11"/>
      <ns0:c r="N154" s="11"/>
      <ns0:c r="O154" s="37"/>
      <ns0:c r="P154" s="38" t="n">
        <ns0:f aca="false">N154-O154</ns0:f>
        <ns0:v>0</ns0:v>
      </ns0:c>
      <ns0:c r="Q154" s="35"/>
      <ns0:c r="R154" s="35"/>
      <ns0:c r="S154" s="39"/>
      <ns0:c r="T154" s="40"/>
      <ns0:c r="U154" s="35"/>
    </ns0:row>
    <ns0:row r="155" customFormat="false" ht="15" hidden="false" customHeight="true" outlineLevel="0" collapsed="false">
      <ns0:c r="A155" s="35"/>
      <ns0:c r="B155" s="36"/>
      <ns0:c r="C155" s="35"/>
      <ns0:c r="D155" s="35"/>
      <ns0:c r="E155" s="35"/>
      <ns0:c r="F155" s="35"/>
      <ns0:c r="G155" s="35"/>
      <ns0:c r="H155" s="35"/>
      <ns0:c r="I155" s="35"/>
      <ns0:c r="J155" s="35"/>
      <ns0:c r="K155" s="35"/>
      <ns0:c r="L155" s="11"/>
      <ns0:c r="M155" s="11"/>
      <ns0:c r="N155" s="11"/>
      <ns0:c r="O155" s="37"/>
      <ns0:c r="P155" s="38" t="n">
        <ns0:f aca="false">N155-O155</ns0:f>
        <ns0:v>0</ns0:v>
      </ns0:c>
      <ns0:c r="Q155" s="35"/>
      <ns0:c r="R155" s="35"/>
      <ns0:c r="S155" s="39"/>
      <ns0:c r="T155" s="40"/>
      <ns0:c r="U155" s="35"/>
    </ns0:row>
    <ns0:row r="156" customFormat="false" ht="15" hidden="false" customHeight="true" outlineLevel="0" collapsed="false">
      <ns0:c r="A156" s="35"/>
      <ns0:c r="B156" s="36"/>
      <ns0:c r="C156" s="35"/>
      <ns0:c r="D156" s="35"/>
      <ns0:c r="E156" s="35"/>
      <ns0:c r="F156" s="35"/>
      <ns0:c r="G156" s="35"/>
      <ns0:c r="H156" s="35"/>
      <ns0:c r="I156" s="35"/>
      <ns0:c r="J156" s="35"/>
      <ns0:c r="K156" s="35"/>
      <ns0:c r="L156" s="11"/>
      <ns0:c r="M156" s="11"/>
      <ns0:c r="N156" s="11"/>
      <ns0:c r="O156" s="37"/>
      <ns0:c r="P156" s="38" t="n">
        <ns0:f aca="false">N156-O156</ns0:f>
        <ns0:v>0</ns0:v>
      </ns0:c>
      <ns0:c r="Q156" s="35"/>
      <ns0:c r="R156" s="35"/>
      <ns0:c r="S156" s="39"/>
      <ns0:c r="T156" s="40"/>
      <ns0:c r="U156" s="35"/>
    </ns0:row>
    <ns0:row r="157" customFormat="false" ht="15" hidden="false" customHeight="true" outlineLevel="0" collapsed="false">
      <ns0:c r="A157" s="35"/>
      <ns0:c r="B157" s="36"/>
      <ns0:c r="C157" s="35"/>
      <ns0:c r="D157" s="35"/>
      <ns0:c r="E157" s="35"/>
      <ns0:c r="F157" s="35"/>
      <ns0:c r="G157" s="35"/>
      <ns0:c r="H157" s="35"/>
      <ns0:c r="I157" s="35"/>
      <ns0:c r="J157" s="35"/>
      <ns0:c r="K157" s="35"/>
      <ns0:c r="L157" s="11"/>
      <ns0:c r="M157" s="11"/>
      <ns0:c r="N157" s="11"/>
      <ns0:c r="O157" s="37"/>
      <ns0:c r="P157" s="38" t="n">
        <ns0:f aca="false">N157-O157</ns0:f>
        <ns0:v>0</ns0:v>
      </ns0:c>
      <ns0:c r="Q157" s="35"/>
      <ns0:c r="R157" s="35"/>
      <ns0:c r="S157" s="39"/>
      <ns0:c r="T157" s="40"/>
      <ns0:c r="U157" s="35"/>
    </ns0:row>
    <ns0:row r="158" customFormat="false" ht="15" hidden="false" customHeight="true" outlineLevel="0" collapsed="false">
      <ns0:c r="A158" s="35"/>
      <ns0:c r="B158" s="36"/>
      <ns0:c r="C158" s="35"/>
      <ns0:c r="D158" s="35"/>
      <ns0:c r="E158" s="35"/>
      <ns0:c r="F158" s="35"/>
      <ns0:c r="G158" s="35"/>
      <ns0:c r="H158" s="35"/>
      <ns0:c r="I158" s="35"/>
      <ns0:c r="J158" s="35"/>
      <ns0:c r="K158" s="35"/>
      <ns0:c r="L158" s="11"/>
      <ns0:c r="M158" s="11"/>
      <ns0:c r="N158" s="11"/>
      <ns0:c r="O158" s="37"/>
      <ns0:c r="P158" s="38" t="n">
        <ns0:f aca="false">N158-O158</ns0:f>
        <ns0:v>0</ns0:v>
      </ns0:c>
      <ns0:c r="Q158" s="35"/>
      <ns0:c r="R158" s="35"/>
      <ns0:c r="S158" s="39"/>
      <ns0:c r="T158" s="40"/>
      <ns0:c r="U158" s="35"/>
    </ns0:row>
    <ns0:row r="159" customFormat="false" ht="15" hidden="false" customHeight="true" outlineLevel="0" collapsed="false">
      <ns0:c r="A159" s="35"/>
      <ns0:c r="B159" s="36"/>
      <ns0:c r="C159" s="35"/>
      <ns0:c r="D159" s="35"/>
      <ns0:c r="E159" s="35"/>
      <ns0:c r="F159" s="35"/>
      <ns0:c r="G159" s="35"/>
      <ns0:c r="H159" s="35"/>
      <ns0:c r="I159" s="35"/>
      <ns0:c r="J159" s="35"/>
      <ns0:c r="K159" s="35"/>
      <ns0:c r="L159" s="11"/>
      <ns0:c r="M159" s="11"/>
      <ns0:c r="N159" s="11"/>
      <ns0:c r="O159" s="37"/>
      <ns0:c r="P159" s="38" t="n">
        <ns0:f aca="false">N159-O159</ns0:f>
        <ns0:v>0</ns0:v>
      </ns0:c>
      <ns0:c r="Q159" s="35"/>
      <ns0:c r="R159" s="35"/>
      <ns0:c r="S159" s="39"/>
      <ns0:c r="T159" s="40"/>
      <ns0:c r="U159" s="35"/>
    </ns0:row>
    <ns0:row r="160" customFormat="false" ht="15" hidden="false" customHeight="true" outlineLevel="0" collapsed="false">
      <ns0:c r="A160" s="35"/>
      <ns0:c r="B160" s="36"/>
      <ns0:c r="C160" s="35"/>
      <ns0:c r="D160" s="35"/>
      <ns0:c r="E160" s="35"/>
      <ns0:c r="F160" s="35"/>
      <ns0:c r="G160" s="35"/>
      <ns0:c r="H160" s="35"/>
      <ns0:c r="I160" s="35"/>
      <ns0:c r="J160" s="35"/>
      <ns0:c r="K160" s="35"/>
      <ns0:c r="L160" s="11"/>
      <ns0:c r="M160" s="11"/>
      <ns0:c r="N160" s="11"/>
      <ns0:c r="O160" s="37"/>
      <ns0:c r="P160" s="38" t="n">
        <ns0:f aca="false">N160-O160</ns0:f>
        <ns0:v>0</ns0:v>
      </ns0:c>
      <ns0:c r="Q160" s="35"/>
      <ns0:c r="R160" s="35"/>
      <ns0:c r="S160" s="39"/>
      <ns0:c r="T160" s="40"/>
      <ns0:c r="U160" s="35"/>
    </ns0:row>
    <ns0:row r="161" customFormat="false" ht="15" hidden="false" customHeight="true" outlineLevel="0" collapsed="false">
      <ns0:c r="A161" s="35"/>
      <ns0:c r="B161" s="36"/>
      <ns0:c r="C161" s="35"/>
      <ns0:c r="D161" s="35"/>
      <ns0:c r="E161" s="35"/>
      <ns0:c r="F161" s="35"/>
      <ns0:c r="G161" s="35"/>
      <ns0:c r="H161" s="35"/>
      <ns0:c r="I161" s="35"/>
      <ns0:c r="J161" s="35"/>
      <ns0:c r="K161" s="35"/>
      <ns0:c r="L161" s="11"/>
      <ns0:c r="M161" s="11"/>
      <ns0:c r="N161" s="11"/>
      <ns0:c r="O161" s="37"/>
      <ns0:c r="P161" s="38" t="n">
        <ns0:f aca="false">N161-O161</ns0:f>
        <ns0:v>0</ns0:v>
      </ns0:c>
      <ns0:c r="Q161" s="35"/>
      <ns0:c r="R161" s="35"/>
      <ns0:c r="S161" s="39"/>
      <ns0:c r="T161" s="40"/>
      <ns0:c r="U161" s="35"/>
    </ns0:row>
    <ns0:row r="162" customFormat="false" ht="15" hidden="false" customHeight="true" outlineLevel="0" collapsed="false">
      <ns0:c r="A162" s="35"/>
      <ns0:c r="B162" s="36"/>
      <ns0:c r="C162" s="35"/>
      <ns0:c r="D162" s="35"/>
      <ns0:c r="E162" s="35"/>
      <ns0:c r="F162" s="35"/>
      <ns0:c r="G162" s="35"/>
      <ns0:c r="H162" s="35"/>
      <ns0:c r="I162" s="35"/>
      <ns0:c r="J162" s="35"/>
      <ns0:c r="K162" s="35"/>
      <ns0:c r="L162" s="11"/>
      <ns0:c r="M162" s="11"/>
      <ns0:c r="N162" s="11"/>
      <ns0:c r="O162" s="37"/>
      <ns0:c r="P162" s="38" t="n">
        <ns0:f aca="false">N162-O162</ns0:f>
        <ns0:v>0</ns0:v>
      </ns0:c>
      <ns0:c r="Q162" s="35"/>
      <ns0:c r="R162" s="35"/>
      <ns0:c r="S162" s="39"/>
      <ns0:c r="T162" s="40"/>
      <ns0:c r="U162" s="35"/>
    </ns0:row>
    <ns0:row r="163" customFormat="false" ht="15" hidden="false" customHeight="true" outlineLevel="0" collapsed="false">
      <ns0:c r="A163" s="35"/>
      <ns0:c r="B163" s="36"/>
      <ns0:c r="C163" s="35"/>
      <ns0:c r="D163" s="35"/>
      <ns0:c r="E163" s="35"/>
      <ns0:c r="F163" s="35"/>
      <ns0:c r="G163" s="35"/>
      <ns0:c r="H163" s="35"/>
      <ns0:c r="I163" s="35"/>
      <ns0:c r="J163" s="35"/>
      <ns0:c r="K163" s="35"/>
      <ns0:c r="L163" s="11"/>
      <ns0:c r="M163" s="11"/>
      <ns0:c r="N163" s="11"/>
      <ns0:c r="O163" s="37"/>
      <ns0:c r="P163" s="38" t="n">
        <ns0:f aca="false">N163-O163</ns0:f>
        <ns0:v>0</ns0:v>
      </ns0:c>
      <ns0:c r="Q163" s="35"/>
      <ns0:c r="R163" s="35"/>
      <ns0:c r="S163" s="39"/>
      <ns0:c r="T163" s="40"/>
      <ns0:c r="U163" s="35"/>
    </ns0:row>
    <ns0:row r="164" customFormat="false" ht="15" hidden="false" customHeight="true" outlineLevel="0" collapsed="false">
      <ns0:c r="A164" s="35"/>
      <ns0:c r="B164" s="36"/>
      <ns0:c r="C164" s="35"/>
      <ns0:c r="D164" s="35"/>
      <ns0:c r="E164" s="35"/>
      <ns0:c r="F164" s="35"/>
      <ns0:c r="G164" s="35"/>
      <ns0:c r="H164" s="35"/>
      <ns0:c r="I164" s="35"/>
      <ns0:c r="J164" s="35"/>
      <ns0:c r="K164" s="35"/>
      <ns0:c r="L164" s="11"/>
      <ns0:c r="M164" s="11"/>
      <ns0:c r="N164" s="11"/>
      <ns0:c r="O164" s="37"/>
      <ns0:c r="P164" s="38" t="n">
        <ns0:f aca="false">N164-O164</ns0:f>
        <ns0:v>0</ns0:v>
      </ns0:c>
      <ns0:c r="Q164" s="35"/>
      <ns0:c r="R164" s="35"/>
      <ns0:c r="S164" s="39"/>
      <ns0:c r="T164" s="40"/>
      <ns0:c r="U164" s="35"/>
    </ns0:row>
    <ns0:row r="165" customFormat="false" ht="15" hidden="false" customHeight="true" outlineLevel="0" collapsed="false">
      <ns0:c r="A165" s="35"/>
      <ns0:c r="B165" s="36"/>
      <ns0:c r="C165" s="35"/>
      <ns0:c r="D165" s="35"/>
      <ns0:c r="E165" s="35"/>
      <ns0:c r="F165" s="35"/>
      <ns0:c r="G165" s="35"/>
      <ns0:c r="H165" s="35"/>
      <ns0:c r="I165" s="35"/>
      <ns0:c r="J165" s="35"/>
      <ns0:c r="K165" s="35"/>
      <ns0:c r="L165" s="11"/>
      <ns0:c r="M165" s="11"/>
      <ns0:c r="N165" s="11"/>
      <ns0:c r="O165" s="37"/>
      <ns0:c r="P165" s="38" t="n">
        <ns0:f aca="false">N165-O165</ns0:f>
        <ns0:v>0</ns0:v>
      </ns0:c>
      <ns0:c r="Q165" s="35"/>
      <ns0:c r="R165" s="35"/>
      <ns0:c r="S165" s="39"/>
      <ns0:c r="T165" s="40"/>
      <ns0:c r="U165" s="35"/>
    </ns0:row>
    <ns0:row r="166" customFormat="false" ht="15" hidden="false" customHeight="true" outlineLevel="0" collapsed="false">
      <ns0:c r="A166" s="35"/>
      <ns0:c r="B166" s="36"/>
      <ns0:c r="C166" s="35"/>
      <ns0:c r="D166" s="35"/>
      <ns0:c r="E166" s="35"/>
      <ns0:c r="F166" s="35"/>
      <ns0:c r="G166" s="35"/>
      <ns0:c r="H166" s="35"/>
      <ns0:c r="I166" s="35"/>
      <ns0:c r="J166" s="35"/>
      <ns0:c r="K166" s="35"/>
      <ns0:c r="L166" s="11"/>
      <ns0:c r="M166" s="11"/>
      <ns0:c r="N166" s="11"/>
      <ns0:c r="O166" s="37"/>
      <ns0:c r="P166" s="38" t="n">
        <ns0:f aca="false">N166-O166</ns0:f>
        <ns0:v>0</ns0:v>
      </ns0:c>
      <ns0:c r="Q166" s="35"/>
      <ns0:c r="R166" s="35"/>
      <ns0:c r="S166" s="39"/>
      <ns0:c r="T166" s="40"/>
      <ns0:c r="U166" s="35"/>
    </ns0:row>
    <ns0:row r="167" customFormat="false" ht="15" hidden="false" customHeight="true" outlineLevel="0" collapsed="false">
      <ns0:c r="A167" s="35"/>
      <ns0:c r="B167" s="36"/>
      <ns0:c r="C167" s="35"/>
      <ns0:c r="D167" s="35"/>
      <ns0:c r="E167" s="35"/>
      <ns0:c r="F167" s="35"/>
      <ns0:c r="G167" s="35"/>
      <ns0:c r="H167" s="35"/>
      <ns0:c r="I167" s="35"/>
      <ns0:c r="J167" s="35"/>
      <ns0:c r="K167" s="35"/>
      <ns0:c r="L167" s="11"/>
      <ns0:c r="M167" s="11"/>
      <ns0:c r="N167" s="11"/>
      <ns0:c r="O167" s="37"/>
      <ns0:c r="P167" s="38" t="n">
        <ns0:f aca="false">N167-O167</ns0:f>
        <ns0:v>0</ns0:v>
      </ns0:c>
      <ns0:c r="Q167" s="35"/>
      <ns0:c r="R167" s="35"/>
      <ns0:c r="S167" s="39"/>
      <ns0:c r="T167" s="40"/>
      <ns0:c r="U167" s="35"/>
    </ns0:row>
    <ns0:row r="168" customFormat="false" ht="15" hidden="false" customHeight="true" outlineLevel="0" collapsed="false">
      <ns0:c r="A168" s="35"/>
      <ns0:c r="B168" s="36"/>
      <ns0:c r="C168" s="35"/>
      <ns0:c r="D168" s="35"/>
      <ns0:c r="E168" s="35"/>
      <ns0:c r="F168" s="35"/>
      <ns0:c r="G168" s="35"/>
      <ns0:c r="H168" s="35"/>
      <ns0:c r="I168" s="35"/>
      <ns0:c r="J168" s="35"/>
      <ns0:c r="K168" s="35"/>
      <ns0:c r="L168" s="11"/>
      <ns0:c r="M168" s="11"/>
      <ns0:c r="N168" s="11"/>
      <ns0:c r="O168" s="37"/>
      <ns0:c r="P168" s="38" t="n">
        <ns0:f aca="false">N168-O168</ns0:f>
        <ns0:v>0</ns0:v>
      </ns0:c>
      <ns0:c r="Q168" s="35"/>
      <ns0:c r="R168" s="35"/>
      <ns0:c r="S168" s="39"/>
      <ns0:c r="T168" s="40"/>
      <ns0:c r="U168" s="35"/>
    </ns0:row>
    <ns0:row r="169" customFormat="false" ht="15" hidden="false" customHeight="true" outlineLevel="0" collapsed="false">
      <ns0:c r="A169" s="35"/>
      <ns0:c r="B169" s="36"/>
      <ns0:c r="C169" s="35"/>
      <ns0:c r="D169" s="35"/>
      <ns0:c r="E169" s="35"/>
      <ns0:c r="F169" s="35"/>
      <ns0:c r="G169" s="35"/>
      <ns0:c r="H169" s="35"/>
      <ns0:c r="I169" s="35"/>
      <ns0:c r="J169" s="35"/>
      <ns0:c r="K169" s="35"/>
      <ns0:c r="L169" s="11"/>
      <ns0:c r="M169" s="11"/>
      <ns0:c r="N169" s="11"/>
      <ns0:c r="O169" s="37"/>
      <ns0:c r="P169" s="38" t="n">
        <ns0:f aca="false">N169-O169</ns0:f>
        <ns0:v>0</ns0:v>
      </ns0:c>
      <ns0:c r="Q169" s="35"/>
      <ns0:c r="R169" s="35"/>
      <ns0:c r="S169" s="39"/>
      <ns0:c r="T169" s="40"/>
      <ns0:c r="U169" s="35"/>
    </ns0:row>
    <ns0:row r="170" customFormat="false" ht="15" hidden="false" customHeight="true" outlineLevel="0" collapsed="false">
      <ns0:c r="A170" s="35"/>
      <ns0:c r="B170" s="36"/>
      <ns0:c r="C170" s="35"/>
      <ns0:c r="D170" s="35"/>
      <ns0:c r="E170" s="35"/>
      <ns0:c r="F170" s="35"/>
      <ns0:c r="G170" s="35"/>
      <ns0:c r="H170" s="35"/>
      <ns0:c r="I170" s="35"/>
      <ns0:c r="J170" s="35"/>
      <ns0:c r="K170" s="35"/>
      <ns0:c r="L170" s="11"/>
      <ns0:c r="M170" s="11"/>
      <ns0:c r="N170" s="11"/>
      <ns0:c r="O170" s="37"/>
      <ns0:c r="P170" s="38" t="n">
        <ns0:f aca="false">N170-O170</ns0:f>
        <ns0:v>0</ns0:v>
      </ns0:c>
      <ns0:c r="Q170" s="35"/>
      <ns0:c r="R170" s="35"/>
      <ns0:c r="S170" s="39"/>
      <ns0:c r="T170" s="40"/>
      <ns0:c r="U170" s="35"/>
    </ns0:row>
    <ns0:row r="171" customFormat="false" ht="15" hidden="false" customHeight="true" outlineLevel="0" collapsed="false">
      <ns0:c r="A171" s="35"/>
      <ns0:c r="B171" s="36"/>
      <ns0:c r="C171" s="35"/>
      <ns0:c r="D171" s="35"/>
      <ns0:c r="E171" s="35"/>
      <ns0:c r="F171" s="35"/>
      <ns0:c r="G171" s="35"/>
      <ns0:c r="H171" s="35"/>
      <ns0:c r="I171" s="35"/>
      <ns0:c r="J171" s="35"/>
      <ns0:c r="K171" s="35"/>
      <ns0:c r="L171" s="11"/>
      <ns0:c r="M171" s="11"/>
      <ns0:c r="N171" s="11"/>
      <ns0:c r="O171" s="37"/>
      <ns0:c r="P171" s="38" t="n">
        <ns0:f aca="false">N171-O171</ns0:f>
        <ns0:v>0</ns0:v>
      </ns0:c>
      <ns0:c r="Q171" s="35"/>
      <ns0:c r="R171" s="35"/>
      <ns0:c r="S171" s="39"/>
      <ns0:c r="T171" s="40"/>
      <ns0:c r="U171" s="35"/>
    </ns0:row>
    <ns0:row r="172" customFormat="false" ht="15" hidden="false" customHeight="true" outlineLevel="0" collapsed="false">
      <ns0:c r="A172" s="35"/>
      <ns0:c r="B172" s="36"/>
      <ns0:c r="C172" s="35"/>
      <ns0:c r="D172" s="35"/>
      <ns0:c r="E172" s="35"/>
      <ns0:c r="F172" s="35"/>
      <ns0:c r="G172" s="35"/>
      <ns0:c r="H172" s="35"/>
      <ns0:c r="I172" s="35"/>
      <ns0:c r="J172" s="35"/>
      <ns0:c r="K172" s="35"/>
      <ns0:c r="L172" s="11"/>
      <ns0:c r="M172" s="11"/>
      <ns0:c r="N172" s="11"/>
      <ns0:c r="O172" s="37"/>
      <ns0:c r="P172" s="38" t="n">
        <ns0:f aca="false">N172-O172</ns0:f>
        <ns0:v>0</ns0:v>
      </ns0:c>
      <ns0:c r="Q172" s="35"/>
      <ns0:c r="R172" s="35"/>
      <ns0:c r="S172" s="39"/>
      <ns0:c r="T172" s="40"/>
      <ns0:c r="U172" s="35"/>
    </ns0:row>
    <ns0:row r="173" customFormat="false" ht="15" hidden="false" customHeight="true" outlineLevel="0" collapsed="false">
      <ns0:c r="A173" s="35"/>
      <ns0:c r="B173" s="36"/>
      <ns0:c r="C173" s="35"/>
      <ns0:c r="D173" s="35"/>
      <ns0:c r="E173" s="35"/>
      <ns0:c r="F173" s="35"/>
      <ns0:c r="G173" s="35"/>
      <ns0:c r="H173" s="35"/>
      <ns0:c r="I173" s="35"/>
      <ns0:c r="J173" s="35"/>
      <ns0:c r="K173" s="35"/>
      <ns0:c r="L173" s="11"/>
      <ns0:c r="M173" s="11"/>
      <ns0:c r="N173" s="11"/>
      <ns0:c r="O173" s="37"/>
      <ns0:c r="P173" s="38" t="n">
        <ns0:f aca="false">N173-O173</ns0:f>
        <ns0:v>0</ns0:v>
      </ns0:c>
      <ns0:c r="Q173" s="35"/>
      <ns0:c r="R173" s="35"/>
      <ns0:c r="S173" s="39"/>
      <ns0:c r="T173" s="40"/>
      <ns0:c r="U173" s="35"/>
    </ns0:row>
    <ns0:row r="174" customFormat="false" ht="15" hidden="false" customHeight="true" outlineLevel="0" collapsed="false">
      <ns0:c r="A174" s="35"/>
      <ns0:c r="B174" s="36"/>
      <ns0:c r="C174" s="35"/>
      <ns0:c r="D174" s="35"/>
      <ns0:c r="E174" s="35"/>
      <ns0:c r="F174" s="35"/>
      <ns0:c r="G174" s="35"/>
      <ns0:c r="H174" s="35"/>
      <ns0:c r="I174" s="35"/>
      <ns0:c r="J174" s="35"/>
      <ns0:c r="K174" s="35"/>
      <ns0:c r="L174" s="11"/>
      <ns0:c r="M174" s="11"/>
      <ns0:c r="N174" s="11"/>
      <ns0:c r="O174" s="37"/>
      <ns0:c r="P174" s="38" t="n">
        <ns0:f aca="false">N174-O174</ns0:f>
        <ns0:v>0</ns0:v>
      </ns0:c>
      <ns0:c r="Q174" s="35"/>
      <ns0:c r="R174" s="35"/>
      <ns0:c r="S174" s="39"/>
      <ns0:c r="T174" s="40"/>
      <ns0:c r="U174" s="35"/>
    </ns0:row>
    <ns0:row r="175" customFormat="false" ht="15" hidden="false" customHeight="true" outlineLevel="0" collapsed="false">
      <ns0:c r="A175" s="35"/>
      <ns0:c r="B175" s="36"/>
      <ns0:c r="C175" s="35"/>
      <ns0:c r="D175" s="35"/>
      <ns0:c r="E175" s="35"/>
      <ns0:c r="F175" s="35"/>
      <ns0:c r="G175" s="35"/>
      <ns0:c r="H175" s="35"/>
      <ns0:c r="I175" s="35"/>
      <ns0:c r="J175" s="35"/>
      <ns0:c r="K175" s="35"/>
      <ns0:c r="L175" s="11"/>
      <ns0:c r="M175" s="11"/>
      <ns0:c r="N175" s="11"/>
      <ns0:c r="O175" s="37"/>
      <ns0:c r="P175" s="38" t="n">
        <ns0:f aca="false">N175-O175</ns0:f>
        <ns0:v>0</ns0:v>
      </ns0:c>
      <ns0:c r="Q175" s="35"/>
      <ns0:c r="R175" s="35"/>
      <ns0:c r="S175" s="39"/>
      <ns0:c r="T175" s="40"/>
      <ns0:c r="U175" s="35"/>
    </ns0:row>
    <ns0:row r="176" customFormat="false" ht="15" hidden="false" customHeight="true" outlineLevel="0" collapsed="false">
      <ns0:c r="A176" s="35"/>
      <ns0:c r="B176" s="36"/>
      <ns0:c r="C176" s="35"/>
      <ns0:c r="D176" s="35"/>
      <ns0:c r="E176" s="35"/>
      <ns0:c r="F176" s="35"/>
      <ns0:c r="G176" s="35"/>
      <ns0:c r="H176" s="35"/>
      <ns0:c r="I176" s="35"/>
      <ns0:c r="J176" s="35"/>
      <ns0:c r="K176" s="35"/>
      <ns0:c r="L176" s="11"/>
      <ns0:c r="M176" s="11"/>
      <ns0:c r="N176" s="11"/>
      <ns0:c r="O176" s="37"/>
      <ns0:c r="P176" s="38" t="n">
        <ns0:f aca="false">N176-O176</ns0:f>
        <ns0:v>0</ns0:v>
      </ns0:c>
      <ns0:c r="Q176" s="35"/>
      <ns0:c r="R176" s="35"/>
      <ns0:c r="S176" s="39"/>
      <ns0:c r="T176" s="40"/>
      <ns0:c r="U176" s="35"/>
    </ns0:row>
    <ns0:row r="177" customFormat="false" ht="15" hidden="false" customHeight="true" outlineLevel="0" collapsed="false">
      <ns0:c r="A177" s="35"/>
      <ns0:c r="B177" s="36"/>
      <ns0:c r="C177" s="35"/>
      <ns0:c r="D177" s="35"/>
      <ns0:c r="E177" s="35"/>
      <ns0:c r="F177" s="35"/>
      <ns0:c r="G177" s="35"/>
      <ns0:c r="H177" s="35"/>
      <ns0:c r="I177" s="35"/>
      <ns0:c r="J177" s="35"/>
      <ns0:c r="K177" s="35"/>
      <ns0:c r="L177" s="11"/>
      <ns0:c r="M177" s="11"/>
      <ns0:c r="N177" s="11"/>
      <ns0:c r="O177" s="37"/>
      <ns0:c r="P177" s="38" t="n">
        <ns0:f aca="false">N177-O177</ns0:f>
        <ns0:v>0</ns0:v>
      </ns0:c>
      <ns0:c r="Q177" s="35"/>
      <ns0:c r="R177" s="35"/>
      <ns0:c r="S177" s="39"/>
      <ns0:c r="T177" s="40"/>
      <ns0:c r="U177" s="35"/>
    </ns0:row>
    <ns0:row r="178" customFormat="false" ht="15" hidden="false" customHeight="true" outlineLevel="0" collapsed="false">
      <ns0:c r="A178" s="35"/>
      <ns0:c r="B178" s="36"/>
      <ns0:c r="C178" s="35"/>
      <ns0:c r="D178" s="35"/>
      <ns0:c r="E178" s="35"/>
      <ns0:c r="F178" s="35"/>
      <ns0:c r="G178" s="35"/>
      <ns0:c r="H178" s="35"/>
      <ns0:c r="I178" s="35"/>
      <ns0:c r="J178" s="35"/>
      <ns0:c r="K178" s="35"/>
      <ns0:c r="L178" s="11"/>
      <ns0:c r="M178" s="11"/>
      <ns0:c r="N178" s="11"/>
      <ns0:c r="O178" s="37"/>
      <ns0:c r="P178" s="38" t="n">
        <ns0:f aca="false">N178-O178</ns0:f>
        <ns0:v>0</ns0:v>
      </ns0:c>
      <ns0:c r="Q178" s="35"/>
      <ns0:c r="R178" s="35"/>
      <ns0:c r="S178" s="39"/>
      <ns0:c r="T178" s="40"/>
      <ns0:c r="U178" s="35"/>
    </ns0:row>
    <ns0:row r="179" customFormat="false" ht="15" hidden="false" customHeight="true" outlineLevel="0" collapsed="false">
      <ns0:c r="A179" s="35"/>
      <ns0:c r="B179" s="36"/>
      <ns0:c r="C179" s="35"/>
      <ns0:c r="D179" s="35"/>
      <ns0:c r="E179" s="35"/>
      <ns0:c r="F179" s="35"/>
      <ns0:c r="G179" s="35"/>
      <ns0:c r="H179" s="35"/>
      <ns0:c r="I179" s="35"/>
      <ns0:c r="J179" s="35"/>
      <ns0:c r="K179" s="35"/>
      <ns0:c r="L179" s="11"/>
      <ns0:c r="M179" s="11"/>
      <ns0:c r="N179" s="11"/>
      <ns0:c r="O179" s="37"/>
      <ns0:c r="P179" s="38" t="n">
        <ns0:f aca="false">N179-O179</ns0:f>
        <ns0:v>0</ns0:v>
      </ns0:c>
      <ns0:c r="Q179" s="35"/>
      <ns0:c r="R179" s="35"/>
      <ns0:c r="S179" s="39"/>
      <ns0:c r="T179" s="40"/>
      <ns0:c r="U179" s="35"/>
    </ns0:row>
    <ns0:row r="180" customFormat="false" ht="15" hidden="false" customHeight="true" outlineLevel="0" collapsed="false">
      <ns0:c r="A180" s="35"/>
      <ns0:c r="B180" s="36"/>
      <ns0:c r="C180" s="35"/>
      <ns0:c r="D180" s="35"/>
      <ns0:c r="E180" s="35"/>
      <ns0:c r="F180" s="35"/>
      <ns0:c r="G180" s="35"/>
      <ns0:c r="H180" s="35"/>
      <ns0:c r="I180" s="35"/>
      <ns0:c r="J180" s="35"/>
      <ns0:c r="K180" s="35"/>
      <ns0:c r="L180" s="11"/>
      <ns0:c r="M180" s="11"/>
      <ns0:c r="N180" s="11"/>
      <ns0:c r="O180" s="37"/>
      <ns0:c r="P180" s="38" t="n">
        <ns0:f aca="false">N180-O180</ns0:f>
        <ns0:v>0</ns0:v>
      </ns0:c>
      <ns0:c r="Q180" s="35"/>
      <ns0:c r="R180" s="35"/>
      <ns0:c r="S180" s="39"/>
      <ns0:c r="T180" s="40"/>
      <ns0:c r="U180" s="35"/>
    </ns0:row>
    <ns0:row r="181" customFormat="false" ht="15" hidden="false" customHeight="true" outlineLevel="0" collapsed="false">
      <ns0:c r="A181" s="35"/>
      <ns0:c r="B181" s="36"/>
      <ns0:c r="C181" s="35"/>
      <ns0:c r="D181" s="35"/>
      <ns0:c r="E181" s="35"/>
      <ns0:c r="F181" s="35"/>
      <ns0:c r="G181" s="35"/>
      <ns0:c r="H181" s="35"/>
      <ns0:c r="I181" s="35"/>
      <ns0:c r="J181" s="35"/>
      <ns0:c r="K181" s="35"/>
      <ns0:c r="L181" s="11"/>
      <ns0:c r="M181" s="11"/>
      <ns0:c r="N181" s="11"/>
      <ns0:c r="O181" s="37"/>
      <ns0:c r="P181" s="38" t="n">
        <ns0:f aca="false">N181-O181</ns0:f>
        <ns0:v>0</ns0:v>
      </ns0:c>
      <ns0:c r="Q181" s="35"/>
      <ns0:c r="R181" s="35"/>
      <ns0:c r="S181" s="39"/>
      <ns0:c r="T181" s="40"/>
      <ns0:c r="U181" s="35"/>
    </ns0:row>
    <ns0:row r="182" customFormat="false" ht="15" hidden="false" customHeight="true" outlineLevel="0" collapsed="false">
      <ns0:c r="A182" s="35"/>
      <ns0:c r="B182" s="36"/>
      <ns0:c r="C182" s="35"/>
      <ns0:c r="D182" s="35"/>
      <ns0:c r="E182" s="35"/>
      <ns0:c r="F182" s="35"/>
      <ns0:c r="G182" s="35"/>
      <ns0:c r="H182" s="35"/>
      <ns0:c r="I182" s="35"/>
      <ns0:c r="J182" s="35"/>
      <ns0:c r="K182" s="35"/>
      <ns0:c r="L182" s="11"/>
      <ns0:c r="M182" s="11"/>
      <ns0:c r="N182" s="11"/>
      <ns0:c r="O182" s="37"/>
      <ns0:c r="P182" s="38" t="n">
        <ns0:f aca="false">N182-O182</ns0:f>
        <ns0:v>0</ns0:v>
      </ns0:c>
      <ns0:c r="Q182" s="35"/>
      <ns0:c r="R182" s="35"/>
      <ns0:c r="S182" s="39"/>
      <ns0:c r="T182" s="40"/>
      <ns0:c r="U182" s="35"/>
    </ns0:row>
    <ns0:row r="183" customFormat="false" ht="15" hidden="false" customHeight="true" outlineLevel="0" collapsed="false">
      <ns0:c r="A183" s="35"/>
      <ns0:c r="B183" s="36"/>
      <ns0:c r="C183" s="35"/>
      <ns0:c r="D183" s="35"/>
      <ns0:c r="E183" s="35"/>
      <ns0:c r="F183" s="35"/>
      <ns0:c r="G183" s="35"/>
      <ns0:c r="H183" s="35"/>
      <ns0:c r="I183" s="35"/>
      <ns0:c r="J183" s="35"/>
      <ns0:c r="K183" s="35"/>
      <ns0:c r="L183" s="11"/>
      <ns0:c r="M183" s="11"/>
      <ns0:c r="N183" s="11"/>
      <ns0:c r="O183" s="37"/>
      <ns0:c r="P183" s="38" t="n">
        <ns0:f aca="false">N183-O183</ns0:f>
        <ns0:v>0</ns0:v>
      </ns0:c>
      <ns0:c r="Q183" s="35"/>
      <ns0:c r="R183" s="35"/>
      <ns0:c r="S183" s="39"/>
      <ns0:c r="T183" s="40"/>
      <ns0:c r="U183" s="35"/>
    </ns0:row>
    <ns0:row r="184" customFormat="false" ht="15" hidden="false" customHeight="true" outlineLevel="0" collapsed="false">
      <ns0:c r="A184" s="35"/>
      <ns0:c r="B184" s="36"/>
      <ns0:c r="C184" s="35"/>
      <ns0:c r="D184" s="35"/>
      <ns0:c r="E184" s="35"/>
      <ns0:c r="F184" s="35"/>
      <ns0:c r="G184" s="35"/>
      <ns0:c r="H184" s="35"/>
      <ns0:c r="I184" s="35"/>
      <ns0:c r="J184" s="35"/>
      <ns0:c r="K184" s="35"/>
      <ns0:c r="L184" s="11"/>
      <ns0:c r="M184" s="11"/>
      <ns0:c r="N184" s="11"/>
      <ns0:c r="O184" s="37"/>
      <ns0:c r="P184" s="38" t="n">
        <ns0:f aca="false">N184-O184</ns0:f>
        <ns0:v>0</ns0:v>
      </ns0:c>
      <ns0:c r="Q184" s="35"/>
      <ns0:c r="R184" s="35"/>
      <ns0:c r="S184" s="39"/>
      <ns0:c r="T184" s="40"/>
      <ns0:c r="U184" s="35"/>
    </ns0:row>
    <ns0:row r="185" customFormat="false" ht="15" hidden="false" customHeight="true" outlineLevel="0" collapsed="false">
      <ns0:c r="A185" s="35"/>
      <ns0:c r="B185" s="36"/>
      <ns0:c r="C185" s="35"/>
      <ns0:c r="D185" s="35"/>
      <ns0:c r="E185" s="35"/>
      <ns0:c r="F185" s="35"/>
      <ns0:c r="G185" s="35"/>
      <ns0:c r="H185" s="35"/>
      <ns0:c r="I185" s="35"/>
      <ns0:c r="J185" s="35"/>
      <ns0:c r="K185" s="35"/>
      <ns0:c r="L185" s="11"/>
      <ns0:c r="M185" s="11"/>
      <ns0:c r="N185" s="11"/>
      <ns0:c r="O185" s="37"/>
      <ns0:c r="P185" s="38" t="n">
        <ns0:f aca="false">N185-O185</ns0:f>
        <ns0:v>0</ns0:v>
      </ns0:c>
      <ns0:c r="Q185" s="35"/>
      <ns0:c r="R185" s="35"/>
      <ns0:c r="S185" s="39"/>
      <ns0:c r="T185" s="40"/>
      <ns0:c r="U185" s="35"/>
    </ns0:row>
    <ns0:row r="186" customFormat="false" ht="15" hidden="false" customHeight="true" outlineLevel="0" collapsed="false">
      <ns0:c r="A186" s="35"/>
      <ns0:c r="B186" s="36"/>
      <ns0:c r="C186" s="35"/>
      <ns0:c r="D186" s="35"/>
      <ns0:c r="E186" s="35"/>
      <ns0:c r="F186" s="35"/>
      <ns0:c r="G186" s="35"/>
      <ns0:c r="H186" s="35"/>
      <ns0:c r="I186" s="35"/>
      <ns0:c r="J186" s="35"/>
      <ns0:c r="K186" s="35"/>
      <ns0:c r="L186" s="11"/>
      <ns0:c r="M186" s="11"/>
      <ns0:c r="N186" s="11"/>
      <ns0:c r="O186" s="37"/>
      <ns0:c r="P186" s="38" t="n">
        <ns0:f aca="false">N186-O186</ns0:f>
        <ns0:v>0</ns0:v>
      </ns0:c>
      <ns0:c r="Q186" s="35"/>
      <ns0:c r="R186" s="35"/>
      <ns0:c r="S186" s="39"/>
      <ns0:c r="T186" s="40"/>
      <ns0:c r="U186" s="35"/>
    </ns0:row>
    <ns0:row r="187" customFormat="false" ht="15" hidden="false" customHeight="true" outlineLevel="0" collapsed="false">
      <ns0:c r="A187" s="35"/>
      <ns0:c r="B187" s="36"/>
      <ns0:c r="C187" s="35"/>
      <ns0:c r="D187" s="35"/>
      <ns0:c r="E187" s="35"/>
      <ns0:c r="F187" s="35"/>
      <ns0:c r="G187" s="35"/>
      <ns0:c r="H187" s="35"/>
      <ns0:c r="I187" s="35"/>
      <ns0:c r="J187" s="35"/>
      <ns0:c r="K187" s="35"/>
      <ns0:c r="L187" s="11"/>
      <ns0:c r="M187" s="11"/>
      <ns0:c r="N187" s="11"/>
      <ns0:c r="O187" s="37"/>
      <ns0:c r="P187" s="38" t="n">
        <ns0:f aca="false">N187-O187</ns0:f>
        <ns0:v>0</ns0:v>
      </ns0:c>
      <ns0:c r="Q187" s="35"/>
      <ns0:c r="R187" s="35"/>
      <ns0:c r="S187" s="39"/>
      <ns0:c r="T187" s="40"/>
      <ns0:c r="U187" s="35"/>
    </ns0:row>
    <ns0:row r="188" customFormat="false" ht="15" hidden="false" customHeight="true" outlineLevel="0" collapsed="false">
      <ns0:c r="A188" s="35"/>
      <ns0:c r="B188" s="36"/>
      <ns0:c r="C188" s="35"/>
      <ns0:c r="D188" s="35"/>
      <ns0:c r="E188" s="35"/>
      <ns0:c r="F188" s="35"/>
      <ns0:c r="G188" s="35"/>
      <ns0:c r="H188" s="35"/>
      <ns0:c r="I188" s="35"/>
      <ns0:c r="J188" s="35"/>
      <ns0:c r="K188" s="35"/>
      <ns0:c r="L188" s="11"/>
      <ns0:c r="M188" s="11"/>
      <ns0:c r="N188" s="11"/>
      <ns0:c r="O188" s="37"/>
      <ns0:c r="P188" s="38" t="n">
        <ns0:f aca="false">N188-O188</ns0:f>
        <ns0:v>0</ns0:v>
      </ns0:c>
      <ns0:c r="Q188" s="35"/>
      <ns0:c r="R188" s="35"/>
      <ns0:c r="S188" s="39"/>
      <ns0:c r="T188" s="40"/>
      <ns0:c r="U188" s="35"/>
    </ns0:row>
    <ns0:row r="189" customFormat="false" ht="15" hidden="false" customHeight="true" outlineLevel="0" collapsed="false">
      <ns0:c r="A189" s="35"/>
      <ns0:c r="B189" s="36"/>
      <ns0:c r="C189" s="35"/>
      <ns0:c r="D189" s="35"/>
      <ns0:c r="E189" s="35"/>
      <ns0:c r="F189" s="35"/>
      <ns0:c r="G189" s="35"/>
      <ns0:c r="H189" s="35"/>
      <ns0:c r="I189" s="35"/>
      <ns0:c r="J189" s="35"/>
      <ns0:c r="K189" s="35"/>
      <ns0:c r="L189" s="11"/>
      <ns0:c r="M189" s="11"/>
      <ns0:c r="N189" s="11"/>
      <ns0:c r="O189" s="37"/>
      <ns0:c r="P189" s="38" t="n">
        <ns0:f aca="false">N189-O189</ns0:f>
        <ns0:v>0</ns0:v>
      </ns0:c>
      <ns0:c r="Q189" s="35"/>
      <ns0:c r="R189" s="35"/>
      <ns0:c r="S189" s="39"/>
      <ns0:c r="T189" s="40"/>
      <ns0:c r="U189" s="35"/>
    </ns0:row>
    <ns0:row r="190" customFormat="false" ht="15" hidden="false" customHeight="true" outlineLevel="0" collapsed="false">
      <ns0:c r="A190" s="35"/>
      <ns0:c r="B190" s="36"/>
      <ns0:c r="C190" s="35"/>
      <ns0:c r="D190" s="35"/>
      <ns0:c r="E190" s="35"/>
      <ns0:c r="F190" s="35"/>
      <ns0:c r="G190" s="35"/>
      <ns0:c r="H190" s="35"/>
      <ns0:c r="I190" s="35"/>
      <ns0:c r="J190" s="35"/>
      <ns0:c r="K190" s="35"/>
      <ns0:c r="L190" s="11"/>
      <ns0:c r="M190" s="11"/>
      <ns0:c r="N190" s="11"/>
      <ns0:c r="O190" s="37"/>
      <ns0:c r="P190" s="38" t="n">
        <ns0:f aca="false">N190-O190</ns0:f>
        <ns0:v>0</ns0:v>
      </ns0:c>
      <ns0:c r="Q190" s="35"/>
      <ns0:c r="R190" s="35"/>
      <ns0:c r="S190" s="39"/>
      <ns0:c r="T190" s="40"/>
      <ns0:c r="U190" s="35"/>
    </ns0:row>
    <ns0:row r="191" customFormat="false" ht="15" hidden="false" customHeight="true" outlineLevel="0" collapsed="false">
      <ns0:c r="A191" s="35"/>
      <ns0:c r="B191" s="36"/>
      <ns0:c r="C191" s="35"/>
      <ns0:c r="D191" s="35"/>
      <ns0:c r="E191" s="35"/>
      <ns0:c r="F191" s="35"/>
      <ns0:c r="G191" s="35"/>
      <ns0:c r="H191" s="35"/>
      <ns0:c r="I191" s="35"/>
      <ns0:c r="J191" s="35"/>
      <ns0:c r="K191" s="35"/>
      <ns0:c r="L191" s="11"/>
      <ns0:c r="M191" s="11"/>
      <ns0:c r="N191" s="11"/>
      <ns0:c r="O191" s="37"/>
      <ns0:c r="P191" s="38" t="n">
        <ns0:f aca="false">N191-O191</ns0:f>
        <ns0:v>0</ns0:v>
      </ns0:c>
      <ns0:c r="Q191" s="35"/>
      <ns0:c r="R191" s="35"/>
      <ns0:c r="S191" s="39"/>
      <ns0:c r="T191" s="40"/>
      <ns0:c r="U191" s="35"/>
    </ns0:row>
    <ns0:row r="192" customFormat="false" ht="15" hidden="false" customHeight="true" outlineLevel="0" collapsed="false">
      <ns0:c r="A192" s="35"/>
      <ns0:c r="B192" s="36"/>
      <ns0:c r="C192" s="35"/>
      <ns0:c r="D192" s="35"/>
      <ns0:c r="E192" s="35"/>
      <ns0:c r="F192" s="35"/>
      <ns0:c r="G192" s="35"/>
      <ns0:c r="H192" s="35"/>
      <ns0:c r="I192" s="35"/>
      <ns0:c r="J192" s="35"/>
      <ns0:c r="K192" s="35"/>
      <ns0:c r="L192" s="11"/>
      <ns0:c r="M192" s="11"/>
      <ns0:c r="N192" s="11"/>
      <ns0:c r="O192" s="37"/>
      <ns0:c r="P192" s="38" t="n">
        <ns0:f aca="false">N192-O192</ns0:f>
        <ns0:v>0</ns0:v>
      </ns0:c>
      <ns0:c r="Q192" s="35"/>
      <ns0:c r="R192" s="35"/>
      <ns0:c r="S192" s="39"/>
      <ns0:c r="T192" s="40"/>
      <ns0:c r="U192" s="35"/>
    </ns0:row>
    <ns0:row r="193" customFormat="false" ht="15" hidden="false" customHeight="true" outlineLevel="0" collapsed="false">
      <ns0:c r="A193" s="35"/>
      <ns0:c r="B193" s="36"/>
      <ns0:c r="C193" s="35"/>
      <ns0:c r="D193" s="35"/>
      <ns0:c r="E193" s="35"/>
      <ns0:c r="F193" s="35"/>
      <ns0:c r="G193" s="35"/>
      <ns0:c r="H193" s="35"/>
      <ns0:c r="I193" s="35"/>
      <ns0:c r="J193" s="35"/>
      <ns0:c r="K193" s="35"/>
      <ns0:c r="L193" s="11"/>
      <ns0:c r="M193" s="11"/>
      <ns0:c r="N193" s="11"/>
      <ns0:c r="O193" s="37"/>
      <ns0:c r="P193" s="38" t="n">
        <ns0:f aca="false">N193-O193</ns0:f>
        <ns0:v>0</ns0:v>
      </ns0:c>
      <ns0:c r="Q193" s="35"/>
      <ns0:c r="R193" s="35"/>
      <ns0:c r="S193" s="39"/>
      <ns0:c r="T193" s="40"/>
      <ns0:c r="U193" s="35"/>
    </ns0:row>
    <ns0:row r="194" customFormat="false" ht="15" hidden="false" customHeight="true" outlineLevel="0" collapsed="false">
      <ns0:c r="A194" s="35"/>
      <ns0:c r="B194" s="36"/>
      <ns0:c r="C194" s="35"/>
      <ns0:c r="D194" s="35"/>
      <ns0:c r="E194" s="35"/>
      <ns0:c r="F194" s="35"/>
      <ns0:c r="G194" s="35"/>
      <ns0:c r="H194" s="35"/>
      <ns0:c r="I194" s="35"/>
      <ns0:c r="J194" s="35"/>
      <ns0:c r="K194" s="35"/>
      <ns0:c r="L194" s="11"/>
      <ns0:c r="M194" s="11"/>
      <ns0:c r="N194" s="11"/>
      <ns0:c r="O194" s="37"/>
      <ns0:c r="P194" s="38" t="n">
        <ns0:f aca="false">N194-O194</ns0:f>
        <ns0:v>0</ns0:v>
      </ns0:c>
      <ns0:c r="Q194" s="35"/>
      <ns0:c r="R194" s="35"/>
      <ns0:c r="S194" s="39"/>
      <ns0:c r="T194" s="40"/>
      <ns0:c r="U194" s="35"/>
    </ns0:row>
    <ns0:row r="195" customFormat="false" ht="15" hidden="false" customHeight="true" outlineLevel="0" collapsed="false">
      <ns0:c r="A195" s="35"/>
      <ns0:c r="B195" s="36"/>
      <ns0:c r="C195" s="35"/>
      <ns0:c r="D195" s="35"/>
      <ns0:c r="E195" s="35"/>
      <ns0:c r="F195" s="35"/>
      <ns0:c r="G195" s="35"/>
      <ns0:c r="H195" s="35"/>
      <ns0:c r="I195" s="35"/>
      <ns0:c r="J195" s="35"/>
      <ns0:c r="K195" s="35"/>
      <ns0:c r="L195" s="11"/>
      <ns0:c r="M195" s="11"/>
      <ns0:c r="N195" s="11"/>
      <ns0:c r="O195" s="37"/>
      <ns0:c r="P195" s="38" t="n">
        <ns0:f aca="false">N195-O195</ns0:f>
        <ns0:v>0</ns0:v>
      </ns0:c>
      <ns0:c r="Q195" s="35"/>
      <ns0:c r="R195" s="35"/>
      <ns0:c r="S195" s="39"/>
      <ns0:c r="T195" s="40"/>
      <ns0:c r="U195" s="35"/>
    </ns0:row>
    <ns0:row r="196" customFormat="false" ht="15" hidden="false" customHeight="true" outlineLevel="0" collapsed="false">
      <ns0:c r="A196" s="35"/>
      <ns0:c r="B196" s="36"/>
      <ns0:c r="C196" s="35"/>
      <ns0:c r="D196" s="35"/>
      <ns0:c r="E196" s="35"/>
      <ns0:c r="F196" s="35"/>
      <ns0:c r="G196" s="35"/>
      <ns0:c r="H196" s="35"/>
      <ns0:c r="I196" s="35"/>
      <ns0:c r="J196" s="35"/>
      <ns0:c r="K196" s="35"/>
      <ns0:c r="L196" s="11"/>
      <ns0:c r="M196" s="11"/>
      <ns0:c r="N196" s="11"/>
      <ns0:c r="O196" s="37"/>
      <ns0:c r="P196" s="38" t="n">
        <ns0:f aca="false">N196-O196</ns0:f>
        <ns0:v>0</ns0:v>
      </ns0:c>
      <ns0:c r="Q196" s="35"/>
      <ns0:c r="R196" s="35"/>
      <ns0:c r="S196" s="39"/>
      <ns0:c r="T196" s="40"/>
      <ns0:c r="U196" s="35"/>
    </ns0:row>
    <ns0:row r="197" customFormat="false" ht="15" hidden="false" customHeight="true" outlineLevel="0" collapsed="false">
      <ns0:c r="A197" s="35"/>
      <ns0:c r="B197" s="36"/>
      <ns0:c r="C197" s="35"/>
      <ns0:c r="D197" s="35"/>
      <ns0:c r="E197" s="35"/>
      <ns0:c r="F197" s="35"/>
      <ns0:c r="G197" s="35"/>
      <ns0:c r="H197" s="35"/>
      <ns0:c r="I197" s="35"/>
      <ns0:c r="J197" s="35"/>
      <ns0:c r="K197" s="35"/>
      <ns0:c r="L197" s="11"/>
      <ns0:c r="M197" s="11"/>
      <ns0:c r="N197" s="11"/>
      <ns0:c r="O197" s="37"/>
      <ns0:c r="P197" s="38" t="n">
        <ns0:f aca="false">N197-O197</ns0:f>
        <ns0:v>0</ns0:v>
      </ns0:c>
      <ns0:c r="Q197" s="35"/>
      <ns0:c r="R197" s="35"/>
      <ns0:c r="S197" s="39"/>
      <ns0:c r="T197" s="40"/>
      <ns0:c r="U197" s="35"/>
    </ns0:row>
    <ns0:row r="198" customFormat="false" ht="15" hidden="false" customHeight="true" outlineLevel="0" collapsed="false">
      <ns0:c r="A198" s="35"/>
      <ns0:c r="B198" s="36"/>
      <ns0:c r="C198" s="35"/>
      <ns0:c r="D198" s="35"/>
      <ns0:c r="E198" s="35"/>
      <ns0:c r="F198" s="35"/>
      <ns0:c r="G198" s="35"/>
      <ns0:c r="H198" s="35"/>
      <ns0:c r="I198" s="35"/>
      <ns0:c r="J198" s="35"/>
      <ns0:c r="K198" s="35"/>
      <ns0:c r="L198" s="11"/>
      <ns0:c r="M198" s="11"/>
      <ns0:c r="N198" s="11"/>
      <ns0:c r="O198" s="37"/>
      <ns0:c r="P198" s="38" t="n">
        <ns0:f aca="false">N198-O198</ns0:f>
        <ns0:v>0</ns0:v>
      </ns0:c>
      <ns0:c r="Q198" s="35"/>
      <ns0:c r="R198" s="35"/>
      <ns0:c r="S198" s="39"/>
      <ns0:c r="T198" s="40"/>
      <ns0:c r="U198" s="35"/>
    </ns0:row>
    <ns0:row r="199" customFormat="false" ht="15" hidden="false" customHeight="true" outlineLevel="0" collapsed="false">
      <ns0:c r="A199" s="35"/>
      <ns0:c r="B199" s="36"/>
      <ns0:c r="C199" s="35"/>
      <ns0:c r="D199" s="35"/>
      <ns0:c r="E199" s="35"/>
      <ns0:c r="F199" s="35"/>
      <ns0:c r="G199" s="35"/>
      <ns0:c r="H199" s="35"/>
      <ns0:c r="I199" s="35"/>
      <ns0:c r="J199" s="35"/>
      <ns0:c r="K199" s="35"/>
      <ns0:c r="L199" s="11"/>
      <ns0:c r="M199" s="11"/>
      <ns0:c r="N199" s="11"/>
      <ns0:c r="O199" s="37"/>
      <ns0:c r="P199" s="38" t="n">
        <ns0:f aca="false">N199-O199</ns0:f>
        <ns0:v>0</ns0:v>
      </ns0:c>
      <ns0:c r="Q199" s="35"/>
      <ns0:c r="R199" s="35"/>
      <ns0:c r="S199" s="39"/>
      <ns0:c r="T199" s="40"/>
      <ns0:c r="U199" s="35"/>
    </ns0:row>
    <ns0:row r="200" customFormat="false" ht="15" hidden="false" customHeight="true" outlineLevel="0" collapsed="false">
      <ns0:c r="A200" s="35"/>
      <ns0:c r="B200" s="36"/>
      <ns0:c r="C200" s="35"/>
      <ns0:c r="D200" s="35"/>
      <ns0:c r="E200" s="35"/>
      <ns0:c r="F200" s="35"/>
      <ns0:c r="G200" s="35"/>
      <ns0:c r="H200" s="35"/>
      <ns0:c r="I200" s="35"/>
      <ns0:c r="J200" s="35"/>
      <ns0:c r="K200" s="35"/>
      <ns0:c r="L200" s="11"/>
      <ns0:c r="M200" s="11"/>
      <ns0:c r="N200" s="11"/>
      <ns0:c r="O200" s="37"/>
      <ns0:c r="P200" s="38" t="n">
        <ns0:f aca="false">N200-O200</ns0:f>
        <ns0:v>0</ns0:v>
      </ns0:c>
      <ns0:c r="Q200" s="35"/>
      <ns0:c r="R200" s="35"/>
      <ns0:c r="S200" s="39"/>
      <ns0:c r="T200" s="40"/>
      <ns0:c r="U200" s="35"/>
    </ns0:row>
    <ns0:row r="201" customFormat="false" ht="15" hidden="false" customHeight="true" outlineLevel="0" collapsed="false">
      <ns0:c r="K201" s="41" t="s">
        <ns0:v>446</ns0:v>
      </ns0:c>
      <ns0:c r="L201" s="42" t="n">
        <ns0:f aca="false">SUM(L3:L200)</ns0:f>
        <ns0:v>369617.12</ns0:v>
      </ns0:c>
      <ns0:c r="M201" s="42" t="n">
        <ns0:f aca="false">SUM(M3:M200)</ns0:f>
        <ns0:v>66531.08</ns0:v>
      </ns0:c>
      <ns0:c r="N201" s="42" t="n">
        <ns0:f aca="false">SUM(N3:N200)</ns0:f>
        <ns0:v>436148.2</ns0:v>
      </ns0:c>
      <ns0:c r="O201" s="42" t="n">
        <ns0:f aca="false">SUM(O3:O200)</ns0:f>
        <ns0:v>12372.58</ns0:v>
      </ns0:c>
      <ns0:c r="P201" s="42" t="n">
        <ns0:f aca="false">SUM(P3:P200)</ns0:f>
        <ns0:v>423775.62</ns0:v>
      </ns0:c>
    </ns0:row>
  </ns0:sheetData>
  <ns0:autoFilter ref="A2:U200"/>
  <ns0:mergeCells count="1">
    <ns0:mergeCell ref="A1:U1"/>
  </ns0:mergeCells>
  <ns0:conditionalFormatting sqref="R3:R200">
    <ns0:cfRule type="expression" priority="2" aboveAverage="0" equalAverage="0" bottom="0" percent="0" rank="0" text="" dxfId="10">
      <ns0:formula>$R3="Paid"</ns0:formula>
    </ns0:cfRule>
    <ns0:cfRule type="expression" priority="3" aboveAverage="0" equalAverage="0" bottom="0" percent="0" rank="0" text="" dxfId="11">
      <ns0:formula>$R3="Partial"</ns0:formula>
    </ns0:cfRule>
    <ns0:cfRule type="expression" priority="4" aboveAverage="0" equalAverage="0" bottom="0" percent="0" rank="0" text="" dxfId="11">
      <ns0:formula>$R3="Pending"</ns0:formula>
    </ns0:cfRule>
    <ns0:cfRule type="expression" priority="5" aboveAverage="0" equalAverage="0" bottom="0" percent="0" rank="0" text="" dxfId="12">
      <ns0:formula>$R3="Awaiting Confirmation"</ns0:formula>
    </ns0:cfRule>
    <ns0:cfRule type="expression" priority="6" aboveAverage="0" equalAverage="0" bottom="0" percent="0" rank="0" text="" dxfId="13">
      <ns0:formula>$R3="Credit Note"</ns0:formula>
    </ns0:cfRule>
  </ns0:conditionalFormatting>
  <ns0:dataValidations count="5">
    <ns0:dataValidation allowBlank="true" errorStyle="stop" operator="between" showDropDown="false" showErrorMessage="false" showInputMessage="false" sqref="G3:G200" type="list">
      <ns0:formula1>"Quotation,Invoice,Delivery-Invoice,Credit Note"</ns0:formula1>
      <ns0:formula2>0</ns0:formula2>
    </ns0:dataValidation>
    <ns0:dataValidation allowBlank="true" errorStyle="stop" operator="between" showDropDown="false" showErrorMessage="false" showInputMessage="false" sqref="J3:J200" type="list">
      <ns0:formula1>"Supply Only,Supply &amp; Install,Service"</ns0:formula1>
      <ns0:formula2>0</ns0:formula2>
    </ns0:dataValidation>
    <ns0:dataValidation allowBlank="true" errorStyle="stop" operator="between" showDropDown="false" showErrorMessage="false" showInputMessage="false" sqref="K3:K200" type="list">
      <ns0:formula1>"Yes,No,N/A"</ns0:formula1>
      <ns0:formula2>0</ns0:formula2>
    </ns0:dataValidation>
    <ns0:dataValidation allowBlank="true" errorStyle="stop" operator="between" showDropDown="false" showErrorMessage="false" showInputMessage="false" sqref="Q3:Q200" type="list">
      <ns0:formula1>"On Delivery,On Completion,Deposit on Confirmation,Paid in Full,See Notes"</ns0:formula1>
      <ns0:formula2>0</ns0:formula2>
    </ns0:dataValidation>
    <ns0:dataValidation allowBlank="true" errorStyle="stop" operator="between" showDropDown="false" showErrorMessage="false" showInputMessage="false" sqref="R3:R200" type="list">
      <ns0:formula1>"Awaiting Confirmation,Pending,Partial,Paid,Credit Note"</ns0:formula1>
      <ns0:formula2>0</ns0:formula2>
    </ns0:dataValidation>
  </ns0:dataValidations>
  <ns0:printOptions headings="false" gridLines="false" gridLinesSet="true" horizontalCentered="false" verticalCentered="false"/>
  <ns0:pageMargins left="0.75" right="0.75" top="1" bottom="1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  <ns0:drawing ns1:id="rId2"/>
  <ns0:legacyDrawing ns1:id="rId3"/>
</ns0:worksheet>
</file>

<file path=xl/worksheets/sheet3.xml><?xml version="1.0" encoding="utf-8"?>
<worksheet xmlns="http://schemas.openxmlformats.org/spreadsheetml/2006/main" xmlns:ns1="http://schemas.openxmlformats.org/officeDocument/2006/relationships">
  <sheetPr filterMode="false">
    <tabColor rgb="FF2E5AAC"/>
    <pageSetUpPr fitToPage="false"/>
  </sheetPr>
  <dimension ref="A1:M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30"/>
    <col collapsed="false" customWidth="true" hidden="false" outlineLevel="0" max="5" min="5" style="1" width="24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10" min="9" style="1" width="14"/>
    <col collapsed="false" customWidth="true" hidden="false" outlineLevel="0" max="12" min="11" style="1" width="13"/>
    <col collapsed="false" customWidth="true" hidden="false" outlineLevel="0" max="13" min="13" style="1" width="40"/>
  </cols>
  <sheetData>
    <row r="1" customFormat="false" ht="30" hidden="false" customHeight="true" outlineLevel="0" collapsed="false">
      <c r="A1" s="2" t="s">
        <v>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16" t="s">
        <v>448</v>
      </c>
      <c r="B2" s="16" t="s">
        <v>449</v>
      </c>
      <c r="C2" s="16" t="s">
        <v>450</v>
      </c>
      <c r="D2" s="16" t="s">
        <v>451</v>
      </c>
      <c r="E2" s="16" t="s">
        <v>452</v>
      </c>
      <c r="F2" s="16" t="s">
        <v>453</v>
      </c>
      <c r="G2" s="16" t="s">
        <v>454</v>
      </c>
      <c r="H2" s="16" t="s">
        <v>455</v>
      </c>
      <c r="I2" s="16" t="s">
        <v>456</v>
      </c>
      <c r="J2" s="16" t="s">
        <v>457</v>
      </c>
      <c r="K2" s="16" t="s">
        <v>458</v>
      </c>
      <c r="L2" s="16" t="s">
        <v>459</v>
      </c>
      <c r="M2" s="16" t="s">
        <v>460</v>
      </c>
    </row>
    <row r="3" customFormat="false" ht="23.25" hidden="false" customHeight="true" outlineLevel="0" collapsed="false">
      <c r="A3" s="17" t="s">
        <v>461</v>
      </c>
      <c r="B3" s="19" t="s">
        <v>60</v>
      </c>
      <c r="C3" s="19" t="s">
        <v>462</v>
      </c>
      <c r="D3" s="20" t="s">
        <v>463</v>
      </c>
      <c r="E3" s="43"/>
      <c r="F3" s="19" t="s">
        <v>464</v>
      </c>
      <c r="G3" s="44" t="n">
        <v>45905</v>
      </c>
      <c r="H3" s="17" t="n">
        <f aca="false">COUNTIF('Orders &amp; Payments'!$C$3:$C$200,$B3)</f>
        <v>4</v>
      </c>
      <c r="I3" s="21" t="n">
        <f aca="false">SUMIFS('Orders &amp; Payments'!$N$3:$N$200,'Orders &amp; Payments'!$C$3:$C$200,$B3,'Orders &amp; Payments'!$G$3:$G$200,"Quotation")</f>
        <v>0</v>
      </c>
      <c r="J3" s="21" t="n">
        <f aca="false">SUMIFS('Orders &amp; Payments'!$N$3:$N$200,'Orders &amp; Payments'!$C$3:$C$200,$B3,'Orders &amp; Payments'!$G$3:$G$200,"Invoice")+SUMIFS('Orders &amp; Payments'!$N$3:$N$200,'Orders &amp; Payments'!$C$3:$C$200,$B3,'Orders &amp; Payments'!$G$3:$G$200,"Delivery-Invoice")</f>
        <v>20321.43</v>
      </c>
      <c r="K3" s="21" t="n">
        <f aca="false">SUMIFS('Orders &amp; Payments'!$O$3:$O$200,'Orders &amp; Payments'!$C$3:$C$200,$B3)</f>
        <v>7609.87</v>
      </c>
      <c r="L3" s="23" t="n">
        <f aca="false">SUMIFS('Orders &amp; Payments'!$P$3:$P$200,'Orders &amp; Payments'!$C$3:$C$200,$B3,'Orders &amp; Payments'!$G$3:$G$200,"Invoice")+SUMIFS('Orders &amp; Payments'!$P$3:$P$200,'Orders &amp; Payments'!$C$3:$C$200,$B3,'Orders &amp; Payments'!$G$3:$G$200,"Delivery-Invoice")</f>
        <v>12711.56</v>
      </c>
      <c r="M3" s="20" t="s">
        <v>465</v>
      </c>
    </row>
    <row r="4" customFormat="false" ht="15" hidden="false" customHeight="true" outlineLevel="0" collapsed="false">
      <c r="A4" s="45" t="s">
        <v>466</v>
      </c>
      <c r="B4" s="46" t="s">
        <v>74</v>
      </c>
      <c r="C4" s="46" t="s">
        <v>467</v>
      </c>
      <c r="D4" s="47" t="s">
        <v>468</v>
      </c>
      <c r="E4" s="43"/>
      <c r="F4" s="46" t="s">
        <v>469</v>
      </c>
      <c r="G4" s="48" t="n">
        <v>45918</v>
      </c>
      <c r="H4" s="45" t="n">
        <f aca="false">COUNTIF('Orders &amp; Payments'!$C$3:$C$200,$B4)</f>
        <v>1</v>
      </c>
      <c r="I4" s="49" t="n">
        <f aca="false">SUMIFS('Orders &amp; Payments'!$N$3:$N$200,'Orders &amp; Payments'!$C$3:$C$200,$B4,'Orders &amp; Payments'!$G$3:$G$200,"Quotation")</f>
        <v>0</v>
      </c>
      <c r="J4" s="49" t="n">
        <f aca="false">SUMIFS('Orders &amp; Payments'!$N$3:$N$200,'Orders &amp; Payments'!$C$3:$C$200,$B4,'Orders &amp; Payments'!$G$3:$G$200,"Invoice")+SUMIFS('Orders &amp; Payments'!$N$3:$N$200,'Orders &amp; Payments'!$C$3:$C$200,$B4,'Orders &amp; Payments'!$G$3:$G$200,"Delivery-Invoice")</f>
        <v>265.5</v>
      </c>
      <c r="K4" s="49" t="n">
        <f aca="false">SUMIFS('Orders &amp; Payments'!$O$3:$O$200,'Orders &amp; Payments'!$C$3:$C$200,$B4)</f>
        <v>0</v>
      </c>
      <c r="L4" s="50" t="n">
        <f aca="false">SUMIFS('Orders &amp; Payments'!$P$3:$P$200,'Orders &amp; Payments'!$C$3:$C$200,$B4,'Orders &amp; Payments'!$G$3:$G$200,"Invoice")+SUMIFS('Orders &amp; Payments'!$P$3:$P$200,'Orders &amp; Payments'!$C$3:$C$200,$B4,'Orders &amp; Payments'!$G$3:$G$200,"Delivery-Invoice")</f>
        <v>265.5</v>
      </c>
      <c r="M4" s="47" t="s">
        <v>470</v>
      </c>
    </row>
    <row r="5" customFormat="false" ht="23.25" hidden="false" customHeight="true" outlineLevel="0" collapsed="false">
      <c r="A5" s="17" t="s">
        <v>471</v>
      </c>
      <c r="B5" s="19" t="s">
        <v>86</v>
      </c>
      <c r="C5" s="19" t="s">
        <v>472</v>
      </c>
      <c r="D5" s="20" t="s">
        <v>473</v>
      </c>
      <c r="E5" s="43"/>
      <c r="F5" s="19" t="s">
        <v>474</v>
      </c>
      <c r="G5" s="44" t="n">
        <v>45926</v>
      </c>
      <c r="H5" s="17" t="n">
        <f aca="false">COUNTIF('Orders &amp; Payments'!$C$3:$C$200,$B5)</f>
        <v>4</v>
      </c>
      <c r="I5" s="21" t="n">
        <f aca="false">SUMIFS('Orders &amp; Payments'!$N$3:$N$200,'Orders &amp; Payments'!$C$3:$C$200,$B5,'Orders &amp; Payments'!$G$3:$G$200,"Quotation")</f>
        <v>33367.57</v>
      </c>
      <c r="J5" s="21" t="n">
        <f aca="false">SUMIFS('Orders &amp; Payments'!$N$3:$N$200,'Orders &amp; Payments'!$C$3:$C$200,$B5,'Orders &amp; Payments'!$G$3:$G$200,"Invoice")+SUMIFS('Orders &amp; Payments'!$N$3:$N$200,'Orders &amp; Payments'!$C$3:$C$200,$B5,'Orders &amp; Payments'!$G$3:$G$200,"Delivery-Invoice")</f>
        <v>17053.73</v>
      </c>
      <c r="K5" s="21" t="n">
        <f aca="false">SUMIFS('Orders &amp; Payments'!$O$3:$O$200,'Orders &amp; Payments'!$C$3:$C$200,$B5)</f>
        <v>0</v>
      </c>
      <c r="L5" s="23" t="n">
        <f aca="false">SUMIFS('Orders &amp; Payments'!$P$3:$P$200,'Orders &amp; Payments'!$C$3:$C$200,$B5,'Orders &amp; Payments'!$G$3:$G$200,"Invoice")+SUMIFS('Orders &amp; Payments'!$P$3:$P$200,'Orders &amp; Payments'!$C$3:$C$200,$B5,'Orders &amp; Payments'!$G$3:$G$200,"Delivery-Invoice")</f>
        <v>17053.73</v>
      </c>
      <c r="M5" s="20" t="s">
        <v>475</v>
      </c>
    </row>
    <row r="6" customFormat="false" ht="15" hidden="false" customHeight="true" outlineLevel="0" collapsed="false">
      <c r="A6" s="45" t="s">
        <v>476</v>
      </c>
      <c r="B6" s="46" t="s">
        <v>99</v>
      </c>
      <c r="C6" s="46" t="s">
        <v>477</v>
      </c>
      <c r="D6" s="47" t="s">
        <v>478</v>
      </c>
      <c r="E6" s="43"/>
      <c r="F6" s="46" t="s">
        <v>464</v>
      </c>
      <c r="G6" s="48" t="n">
        <v>45929</v>
      </c>
      <c r="H6" s="45" t="n">
        <f aca="false">COUNTIF('Orders &amp; Payments'!$C$3:$C$200,$B6)</f>
        <v>2</v>
      </c>
      <c r="I6" s="49" t="n">
        <f aca="false">SUMIFS('Orders &amp; Payments'!$N$3:$N$200,'Orders &amp; Payments'!$C$3:$C$200,$B6,'Orders &amp; Payments'!$G$3:$G$200,"Quotation")</f>
        <v>0</v>
      </c>
      <c r="J6" s="49" t="n">
        <f aca="false">SUMIFS('Orders &amp; Payments'!$N$3:$N$200,'Orders &amp; Payments'!$C$3:$C$200,$B6,'Orders &amp; Payments'!$G$3:$G$200,"Invoice")+SUMIFS('Orders &amp; Payments'!$N$3:$N$200,'Orders &amp; Payments'!$C$3:$C$200,$B6,'Orders &amp; Payments'!$G$3:$G$200,"Delivery-Invoice")</f>
        <v>6726</v>
      </c>
      <c r="K6" s="49" t="n">
        <f aca="false">SUMIFS('Orders &amp; Payments'!$O$3:$O$200,'Orders &amp; Payments'!$C$3:$C$200,$B6)</f>
        <v>0</v>
      </c>
      <c r="L6" s="50" t="n">
        <f aca="false">SUMIFS('Orders &amp; Payments'!$P$3:$P$200,'Orders &amp; Payments'!$C$3:$C$200,$B6,'Orders &amp; Payments'!$G$3:$G$200,"Invoice")+SUMIFS('Orders &amp; Payments'!$P$3:$P$200,'Orders &amp; Payments'!$C$3:$C$200,$B6,'Orders &amp; Payments'!$G$3:$G$200,"Delivery-Invoice")</f>
        <v>6726</v>
      </c>
      <c r="M6" s="47" t="s">
        <v>479</v>
      </c>
    </row>
    <row r="7" customFormat="false" ht="23.25" hidden="false" customHeight="true" outlineLevel="0" collapsed="false">
      <c r="A7" s="17" t="s">
        <v>480</v>
      </c>
      <c r="B7" s="19" t="s">
        <v>104</v>
      </c>
      <c r="C7" s="19" t="s">
        <v>481</v>
      </c>
      <c r="D7" s="20" t="s">
        <v>482</v>
      </c>
      <c r="E7" s="43"/>
      <c r="F7" s="19" t="s">
        <v>483</v>
      </c>
      <c r="G7" s="44" t="n">
        <v>45931</v>
      </c>
      <c r="H7" s="17" t="n">
        <f aca="false">COUNTIF('Orders &amp; Payments'!$C$3:$C$200,$B7)</f>
        <v>4</v>
      </c>
      <c r="I7" s="21" t="n">
        <f aca="false">SUMIFS('Orders &amp; Payments'!$N$3:$N$200,'Orders &amp; Payments'!$C$3:$C$200,$B7,'Orders &amp; Payments'!$G$3:$G$200,"Quotation")</f>
        <v>9569.8</v>
      </c>
      <c r="J7" s="21" t="n">
        <f aca="false">SUMIFS('Orders &amp; Payments'!$N$3:$N$200,'Orders &amp; Payments'!$C$3:$C$200,$B7,'Orders &amp; Payments'!$G$3:$G$200,"Invoice")+SUMIFS('Orders &amp; Payments'!$N$3:$N$200,'Orders &amp; Payments'!$C$3:$C$200,$B7,'Orders &amp; Payments'!$G$3:$G$200,"Delivery-Invoice")</f>
        <v>1271.45</v>
      </c>
      <c r="K7" s="21" t="n">
        <f aca="false">SUMIFS('Orders &amp; Payments'!$O$3:$O$200,'Orders &amp; Payments'!$C$3:$C$200,$B7)</f>
        <v>0</v>
      </c>
      <c r="L7" s="23" t="n">
        <f aca="false">SUMIFS('Orders &amp; Payments'!$P$3:$P$200,'Orders &amp; Payments'!$C$3:$C$200,$B7,'Orders &amp; Payments'!$G$3:$G$200,"Invoice")+SUMIFS('Orders &amp; Payments'!$P$3:$P$200,'Orders &amp; Payments'!$C$3:$C$200,$B7,'Orders &amp; Payments'!$G$3:$G$200,"Delivery-Invoice")</f>
        <v>1271.45</v>
      </c>
      <c r="M7" s="20" t="s">
        <v>484</v>
      </c>
    </row>
    <row r="8" customFormat="false" ht="23.25" hidden="false" customHeight="true" outlineLevel="0" collapsed="false">
      <c r="A8" s="45" t="s">
        <v>485</v>
      </c>
      <c r="B8" s="46" t="s">
        <v>110</v>
      </c>
      <c r="C8" s="46" t="s">
        <v>486</v>
      </c>
      <c r="D8" s="47" t="s">
        <v>487</v>
      </c>
      <c r="E8" s="43"/>
      <c r="F8" s="46" t="s">
        <v>483</v>
      </c>
      <c r="G8" s="48" t="n">
        <v>45936</v>
      </c>
      <c r="H8" s="45" t="n">
        <f aca="false">COUNTIF('Orders &amp; Payments'!$C$3:$C$200,$B8)</f>
        <v>17</v>
      </c>
      <c r="I8" s="49" t="n">
        <f aca="false">SUMIFS('Orders &amp; Payments'!$N$3:$N$200,'Orders &amp; Payments'!$C$3:$C$200,$B8,'Orders &amp; Payments'!$G$3:$G$200,"Quotation")</f>
        <v>45937.7</v>
      </c>
      <c r="J8" s="49" t="n">
        <f aca="false">SUMIFS('Orders &amp; Payments'!$N$3:$N$200,'Orders &amp; Payments'!$C$3:$C$200,$B8,'Orders &amp; Payments'!$G$3:$G$200,"Invoice")+SUMIFS('Orders &amp; Payments'!$N$3:$N$200,'Orders &amp; Payments'!$C$3:$C$200,$B8,'Orders &amp; Payments'!$G$3:$G$200,"Delivery-Invoice")</f>
        <v>16292.84</v>
      </c>
      <c r="K8" s="49" t="n">
        <f aca="false">SUMIFS('Orders &amp; Payments'!$O$3:$O$200,'Orders &amp; Payments'!$C$3:$C$200,$B8)</f>
        <v>0</v>
      </c>
      <c r="L8" s="50" t="n">
        <f aca="false">SUMIFS('Orders &amp; Payments'!$P$3:$P$200,'Orders &amp; Payments'!$C$3:$C$200,$B8,'Orders &amp; Payments'!$G$3:$G$200,"Invoice")+SUMIFS('Orders &amp; Payments'!$P$3:$P$200,'Orders &amp; Payments'!$C$3:$C$200,$B8,'Orders &amp; Payments'!$G$3:$G$200,"Delivery-Invoice")</f>
        <v>16292.84</v>
      </c>
      <c r="M8" s="47" t="s">
        <v>488</v>
      </c>
    </row>
    <row r="9" customFormat="false" ht="15" hidden="false" customHeight="true" outlineLevel="0" collapsed="false">
      <c r="A9" s="17" t="s">
        <v>489</v>
      </c>
      <c r="B9" s="19" t="s">
        <v>139</v>
      </c>
      <c r="C9" s="19" t="s">
        <v>490</v>
      </c>
      <c r="D9" s="20" t="s">
        <v>491</v>
      </c>
      <c r="E9" s="43"/>
      <c r="F9" s="19" t="s">
        <v>483</v>
      </c>
      <c r="G9" s="44" t="n">
        <v>45966</v>
      </c>
      <c r="H9" s="17" t="n">
        <f aca="false">COUNTIF('Orders &amp; Payments'!$C$3:$C$200,$B9)</f>
        <v>4</v>
      </c>
      <c r="I9" s="21" t="n">
        <f aca="false">SUMIFS('Orders &amp; Payments'!$N$3:$N$200,'Orders &amp; Payments'!$C$3:$C$200,$B9,'Orders &amp; Payments'!$G$3:$G$200,"Quotation")</f>
        <v>7599.2</v>
      </c>
      <c r="J9" s="21" t="n">
        <f aca="false">SUMIFS('Orders &amp; Payments'!$N$3:$N$200,'Orders &amp; Payments'!$C$3:$C$200,$B9,'Orders &amp; Payments'!$G$3:$G$200,"Invoice")+SUMIFS('Orders &amp; Payments'!$N$3:$N$200,'Orders &amp; Payments'!$C$3:$C$200,$B9,'Orders &amp; Payments'!$G$3:$G$200,"Delivery-Invoice")</f>
        <v>1752.3</v>
      </c>
      <c r="K9" s="21" t="n">
        <f aca="false">SUMIFS('Orders &amp; Payments'!$O$3:$O$200,'Orders &amp; Payments'!$C$3:$C$200,$B9)</f>
        <v>0</v>
      </c>
      <c r="L9" s="23" t="n">
        <f aca="false">SUMIFS('Orders &amp; Payments'!$P$3:$P$200,'Orders &amp; Payments'!$C$3:$C$200,$B9,'Orders &amp; Payments'!$G$3:$G$200,"Invoice")+SUMIFS('Orders &amp; Payments'!$P$3:$P$200,'Orders &amp; Payments'!$C$3:$C$200,$B9,'Orders &amp; Payments'!$G$3:$G$200,"Delivery-Invoice")</f>
        <v>1752.3</v>
      </c>
      <c r="M9" s="20" t="s">
        <v>492</v>
      </c>
    </row>
    <row r="10" customFormat="false" ht="23.25" hidden="false" customHeight="true" outlineLevel="0" collapsed="false">
      <c r="A10" s="45" t="s">
        <v>493</v>
      </c>
      <c r="B10" s="46" t="s">
        <v>156</v>
      </c>
      <c r="C10" s="46" t="s">
        <v>494</v>
      </c>
      <c r="D10" s="47" t="s">
        <v>495</v>
      </c>
      <c r="E10" s="43"/>
      <c r="F10" s="46" t="s">
        <v>496</v>
      </c>
      <c r="G10" s="48" t="n">
        <v>45975</v>
      </c>
      <c r="H10" s="45" t="n">
        <f aca="false">COUNTIF('Orders &amp; Payments'!$C$3:$C$200,$B10)</f>
        <v>1</v>
      </c>
      <c r="I10" s="49" t="n">
        <f aca="false">SUMIFS('Orders &amp; Payments'!$N$3:$N$200,'Orders &amp; Payments'!$C$3:$C$200,$B10,'Orders &amp; Payments'!$G$3:$G$200,"Quotation")</f>
        <v>0</v>
      </c>
      <c r="J10" s="49" t="n">
        <f aca="false">SUMIFS('Orders &amp; Payments'!$N$3:$N$200,'Orders &amp; Payments'!$C$3:$C$200,$B10,'Orders &amp; Payments'!$G$3:$G$200,"Invoice")+SUMIFS('Orders &amp; Payments'!$N$3:$N$200,'Orders &amp; Payments'!$C$3:$C$200,$B10,'Orders &amp; Payments'!$G$3:$G$200,"Delivery-Invoice")</f>
        <v>8283.6</v>
      </c>
      <c r="K10" s="49" t="n">
        <f aca="false">SUMIFS('Orders &amp; Payments'!$O$3:$O$200,'Orders &amp; Payments'!$C$3:$C$200,$B10)</f>
        <v>0</v>
      </c>
      <c r="L10" s="50" t="n">
        <f aca="false">SUMIFS('Orders &amp; Payments'!$P$3:$P$200,'Orders &amp; Payments'!$C$3:$C$200,$B10,'Orders &amp; Payments'!$G$3:$G$200,"Invoice")+SUMIFS('Orders &amp; Payments'!$P$3:$P$200,'Orders &amp; Payments'!$C$3:$C$200,$B10,'Orders &amp; Payments'!$G$3:$G$200,"Delivery-Invoice")</f>
        <v>8283.6</v>
      </c>
      <c r="M10" s="47" t="s">
        <v>497</v>
      </c>
    </row>
    <row r="11" customFormat="false" ht="23.25" hidden="false" customHeight="true" outlineLevel="0" collapsed="false">
      <c r="A11" s="17" t="s">
        <v>498</v>
      </c>
      <c r="B11" s="19" t="s">
        <v>45</v>
      </c>
      <c r="C11" s="19" t="s">
        <v>499</v>
      </c>
      <c r="D11" s="20" t="s">
        <v>500</v>
      </c>
      <c r="E11" s="43"/>
      <c r="F11" s="19" t="s">
        <v>501</v>
      </c>
      <c r="G11" s="44" t="n">
        <v>45625</v>
      </c>
      <c r="H11" s="17" t="n">
        <f aca="false">COUNTIF('Orders &amp; Payments'!$C$3:$C$200,$B11)</f>
        <v>1</v>
      </c>
      <c r="I11" s="21" t="n">
        <f aca="false">SUMIFS('Orders &amp; Payments'!$N$3:$N$200,'Orders &amp; Payments'!$C$3:$C$200,$B11,'Orders &amp; Payments'!$G$3:$G$200,"Quotation")</f>
        <v>7791.92</v>
      </c>
      <c r="J11" s="21" t="n">
        <f aca="false">SUMIFS('Orders &amp; Payments'!$N$3:$N$200,'Orders &amp; Payments'!$C$3:$C$200,$B11,'Orders &amp; Payments'!$G$3:$G$200,"Invoice")+SUMIFS('Orders &amp; Payments'!$N$3:$N$200,'Orders &amp; Payments'!$C$3:$C$200,$B11,'Orders &amp; Payments'!$G$3:$G$200,"Delivery-Invoice")</f>
        <v>0</v>
      </c>
      <c r="K11" s="21" t="n">
        <f aca="false">SUMIFS('Orders &amp; Payments'!$O$3:$O$200,'Orders &amp; Payments'!$C$3:$C$200,$B11)</f>
        <v>0</v>
      </c>
      <c r="L11" s="23" t="n">
        <f aca="false">SUMIFS('Orders &amp; Payments'!$P$3:$P$200,'Orders &amp; Payments'!$C$3:$C$200,$B11,'Orders &amp; Payments'!$G$3:$G$200,"Invoice")+SUMIFS('Orders &amp; Payments'!$P$3:$P$200,'Orders &amp; Payments'!$C$3:$C$200,$B11,'Orders &amp; Payments'!$G$3:$G$200,"Delivery-Invoice")</f>
        <v>0</v>
      </c>
      <c r="M11" s="20" t="s">
        <v>502</v>
      </c>
    </row>
    <row r="12" customFormat="false" ht="23.25" hidden="false" customHeight="true" outlineLevel="0" collapsed="false">
      <c r="A12" s="45" t="s">
        <v>503</v>
      </c>
      <c r="B12" s="46" t="s">
        <v>54</v>
      </c>
      <c r="C12" s="46" t="s">
        <v>499</v>
      </c>
      <c r="D12" s="47" t="s">
        <v>55</v>
      </c>
      <c r="E12" s="43"/>
      <c r="F12" s="46" t="s">
        <v>501</v>
      </c>
      <c r="G12" s="48" t="n">
        <v>45868</v>
      </c>
      <c r="H12" s="45" t="n">
        <f aca="false">COUNTIF('Orders &amp; Payments'!$C$3:$C$200,$B12)</f>
        <v>1</v>
      </c>
      <c r="I12" s="49" t="n">
        <f aca="false">SUMIFS('Orders &amp; Payments'!$N$3:$N$200,'Orders &amp; Payments'!$C$3:$C$200,$B12,'Orders &amp; Payments'!$G$3:$G$200,"Quotation")</f>
        <v>1910.42</v>
      </c>
      <c r="J12" s="49" t="n">
        <f aca="false">SUMIFS('Orders &amp; Payments'!$N$3:$N$200,'Orders &amp; Payments'!$C$3:$C$200,$B12,'Orders &amp; Payments'!$G$3:$G$200,"Invoice")+SUMIFS('Orders &amp; Payments'!$N$3:$N$200,'Orders &amp; Payments'!$C$3:$C$200,$B12,'Orders &amp; Payments'!$G$3:$G$200,"Delivery-Invoice")</f>
        <v>0</v>
      </c>
      <c r="K12" s="49" t="n">
        <f aca="false">SUMIFS('Orders &amp; Payments'!$O$3:$O$200,'Orders &amp; Payments'!$C$3:$C$200,$B12)</f>
        <v>0</v>
      </c>
      <c r="L12" s="50" t="n">
        <f aca="false">SUMIFS('Orders &amp; Payments'!$P$3:$P$200,'Orders &amp; Payments'!$C$3:$C$200,$B12,'Orders &amp; Payments'!$G$3:$G$200,"Invoice")+SUMIFS('Orders &amp; Payments'!$P$3:$P$200,'Orders &amp; Payments'!$C$3:$C$200,$B12,'Orders &amp; Payments'!$G$3:$G$200,"Delivery-Invoice")</f>
        <v>0</v>
      </c>
      <c r="M12" s="47" t="s">
        <v>504</v>
      </c>
    </row>
    <row r="13" customFormat="false" ht="23.25" hidden="false" customHeight="true" outlineLevel="0" collapsed="false">
      <c r="A13" s="17" t="s">
        <v>505</v>
      </c>
      <c r="B13" s="19" t="s">
        <v>68</v>
      </c>
      <c r="C13" s="19" t="s">
        <v>499</v>
      </c>
      <c r="D13" s="20" t="s">
        <v>69</v>
      </c>
      <c r="E13" s="43"/>
      <c r="F13" s="19" t="s">
        <v>506</v>
      </c>
      <c r="G13" s="44" t="n">
        <v>45917</v>
      </c>
      <c r="H13" s="17" t="n">
        <f aca="false">COUNTIF('Orders &amp; Payments'!$C$3:$C$200,$B13)</f>
        <v>1</v>
      </c>
      <c r="I13" s="21" t="n">
        <f aca="false">SUMIFS('Orders &amp; Payments'!$N$3:$N$200,'Orders &amp; Payments'!$C$3:$C$200,$B13,'Orders &amp; Payments'!$G$3:$G$200,"Quotation")</f>
        <v>4448.6</v>
      </c>
      <c r="J13" s="21" t="n">
        <f aca="false">SUMIFS('Orders &amp; Payments'!$N$3:$N$200,'Orders &amp; Payments'!$C$3:$C$200,$B13,'Orders &amp; Payments'!$G$3:$G$200,"Invoice")+SUMIFS('Orders &amp; Payments'!$N$3:$N$200,'Orders &amp; Payments'!$C$3:$C$200,$B13,'Orders &amp; Payments'!$G$3:$G$200,"Delivery-Invoice")</f>
        <v>0</v>
      </c>
      <c r="K13" s="21" t="n">
        <f aca="false">SUMIFS('Orders &amp; Payments'!$O$3:$O$200,'Orders &amp; Payments'!$C$3:$C$200,$B13)</f>
        <v>0</v>
      </c>
      <c r="L13" s="23" t="n">
        <f aca="false">SUMIFS('Orders &amp; Payments'!$P$3:$P$200,'Orders &amp; Payments'!$C$3:$C$200,$B13,'Orders &amp; Payments'!$G$3:$G$200,"Invoice")+SUMIFS('Orders &amp; Payments'!$P$3:$P$200,'Orders &amp; Payments'!$C$3:$C$200,$B13,'Orders &amp; Payments'!$G$3:$G$200,"Delivery-Invoice")</f>
        <v>0</v>
      </c>
      <c r="M13" s="20" t="s">
        <v>507</v>
      </c>
    </row>
    <row r="14" customFormat="false" ht="23.25" hidden="false" customHeight="true" outlineLevel="0" collapsed="false">
      <c r="A14" s="45" t="s">
        <v>508</v>
      </c>
      <c r="B14" s="46" t="s">
        <v>130</v>
      </c>
      <c r="C14" s="46" t="s">
        <v>499</v>
      </c>
      <c r="D14" s="47" t="s">
        <v>69</v>
      </c>
      <c r="E14" s="43"/>
      <c r="F14" s="46" t="s">
        <v>509</v>
      </c>
      <c r="G14" s="48" t="n">
        <v>45965</v>
      </c>
      <c r="H14" s="45" t="n">
        <f aca="false">COUNTIF('Orders &amp; Payments'!$C$3:$C$200,$B14)</f>
        <v>4</v>
      </c>
      <c r="I14" s="49" t="n">
        <f aca="false">SUMIFS('Orders &amp; Payments'!$N$3:$N$200,'Orders &amp; Payments'!$C$3:$C$200,$B14,'Orders &amp; Payments'!$G$3:$G$200,"Quotation")</f>
        <v>0</v>
      </c>
      <c r="J14" s="49" t="n">
        <f aca="false">SUMIFS('Orders &amp; Payments'!$N$3:$N$200,'Orders &amp; Payments'!$C$3:$C$200,$B14,'Orders &amp; Payments'!$G$3:$G$200,"Invoice")+SUMIFS('Orders &amp; Payments'!$N$3:$N$200,'Orders &amp; Payments'!$C$3:$C$200,$B14,'Orders &amp; Payments'!$G$3:$G$200,"Delivery-Invoice")</f>
        <v>12338.08</v>
      </c>
      <c r="K14" s="49" t="n">
        <f aca="false">SUMIFS('Orders &amp; Payments'!$O$3:$O$200,'Orders &amp; Payments'!$C$3:$C$200,$B14)</f>
        <v>0</v>
      </c>
      <c r="L14" s="50" t="n">
        <f aca="false">SUMIFS('Orders &amp; Payments'!$P$3:$P$200,'Orders &amp; Payments'!$C$3:$C$200,$B14,'Orders &amp; Payments'!$G$3:$G$200,"Invoice")+SUMIFS('Orders &amp; Payments'!$P$3:$P$200,'Orders &amp; Payments'!$C$3:$C$200,$B14,'Orders &amp; Payments'!$G$3:$G$200,"Delivery-Invoice")</f>
        <v>12338.08</v>
      </c>
      <c r="M14" s="47" t="s">
        <v>510</v>
      </c>
    </row>
    <row r="15" customFormat="false" ht="15" hidden="false" customHeight="true" outlineLevel="0" collapsed="false">
      <c r="A15" s="17" t="s">
        <v>511</v>
      </c>
      <c r="B15" s="19" t="s">
        <v>120</v>
      </c>
      <c r="C15" s="19" t="s">
        <v>499</v>
      </c>
      <c r="D15" s="20" t="s">
        <v>512</v>
      </c>
      <c r="E15" s="43"/>
      <c r="F15" s="19" t="s">
        <v>513</v>
      </c>
      <c r="G15" s="44" t="n">
        <v>45959</v>
      </c>
      <c r="H15" s="17" t="n">
        <f aca="false">COUNTIF('Orders &amp; Payments'!$C$3:$C$200,$B15)</f>
        <v>1</v>
      </c>
      <c r="I15" s="21" t="n">
        <f aca="false">SUMIFS('Orders &amp; Payments'!$N$3:$N$200,'Orders &amp; Payments'!$C$3:$C$200,$B15,'Orders &amp; Payments'!$G$3:$G$200,"Quotation")</f>
        <v>2737.6</v>
      </c>
      <c r="J15" s="21" t="n">
        <f aca="false">SUMIFS('Orders &amp; Payments'!$N$3:$N$200,'Orders &amp; Payments'!$C$3:$C$200,$B15,'Orders &amp; Payments'!$G$3:$G$200,"Invoice")+SUMIFS('Orders &amp; Payments'!$N$3:$N$200,'Orders &amp; Payments'!$C$3:$C$200,$B15,'Orders &amp; Payments'!$G$3:$G$200,"Delivery-Invoice")</f>
        <v>0</v>
      </c>
      <c r="K15" s="21" t="n">
        <f aca="false">SUMIFS('Orders &amp; Payments'!$O$3:$O$200,'Orders &amp; Payments'!$C$3:$C$200,$B15)</f>
        <v>0</v>
      </c>
      <c r="L15" s="23" t="n">
        <f aca="false">SUMIFS('Orders &amp; Payments'!$P$3:$P$200,'Orders &amp; Payments'!$C$3:$C$200,$B15,'Orders &amp; Payments'!$G$3:$G$200,"Invoice")+SUMIFS('Orders &amp; Payments'!$P$3:$P$200,'Orders &amp; Payments'!$C$3:$C$200,$B15,'Orders &amp; Payments'!$G$3:$G$200,"Delivery-Invoice")</f>
        <v>0</v>
      </c>
      <c r="M15" s="20" t="s">
        <v>514</v>
      </c>
    </row>
    <row r="16" customFormat="false" ht="23.25" hidden="false" customHeight="true" outlineLevel="0" collapsed="false">
      <c r="A16" s="45" t="s">
        <v>515</v>
      </c>
      <c r="B16" s="46" t="s">
        <v>80</v>
      </c>
      <c r="C16" s="46" t="s">
        <v>499</v>
      </c>
      <c r="D16" s="47" t="s">
        <v>81</v>
      </c>
      <c r="E16" s="43"/>
      <c r="F16" s="46" t="s">
        <v>506</v>
      </c>
      <c r="G16" s="48" t="n">
        <v>45923</v>
      </c>
      <c r="H16" s="45" t="n">
        <f aca="false">COUNTIF('Orders &amp; Payments'!$C$3:$C$200,$B16)</f>
        <v>1</v>
      </c>
      <c r="I16" s="49" t="n">
        <f aca="false">SUMIFS('Orders &amp; Payments'!$N$3:$N$200,'Orders &amp; Payments'!$C$3:$C$200,$B16,'Orders &amp; Payments'!$G$3:$G$200,"Quotation")</f>
        <v>0</v>
      </c>
      <c r="J16" s="49" t="n">
        <f aca="false">SUMIFS('Orders &amp; Payments'!$N$3:$N$200,'Orders &amp; Payments'!$C$3:$C$200,$B16,'Orders &amp; Payments'!$G$3:$G$200,"Invoice")+SUMIFS('Orders &amp; Payments'!$N$3:$N$200,'Orders &amp; Payments'!$C$3:$C$200,$B16,'Orders &amp; Payments'!$G$3:$G$200,"Delivery-Invoice")</f>
        <v>332.76</v>
      </c>
      <c r="K16" s="49" t="n">
        <f aca="false">SUMIFS('Orders &amp; Payments'!$O$3:$O$200,'Orders &amp; Payments'!$C$3:$C$200,$B16)</f>
        <v>0</v>
      </c>
      <c r="L16" s="50" t="n">
        <f aca="false">SUMIFS('Orders &amp; Payments'!$P$3:$P$200,'Orders &amp; Payments'!$C$3:$C$200,$B16,'Orders &amp; Payments'!$G$3:$G$200,"Invoice")+SUMIFS('Orders &amp; Payments'!$P$3:$P$200,'Orders &amp; Payments'!$C$3:$C$200,$B16,'Orders &amp; Payments'!$G$3:$G$200,"Delivery-Invoice")</f>
        <v>332.76</v>
      </c>
      <c r="M16" s="47" t="s">
        <v>516</v>
      </c>
    </row>
    <row r="17" customFormat="false" ht="15" hidden="false" customHeight="true" outlineLevel="0" collapsed="false">
      <c r="A17" s="17" t="s">
        <v>517</v>
      </c>
      <c r="B17" s="19" t="s">
        <v>150</v>
      </c>
      <c r="C17" s="19" t="s">
        <v>499</v>
      </c>
      <c r="D17" s="20" t="s">
        <v>518</v>
      </c>
      <c r="E17" s="43"/>
      <c r="F17" s="19" t="s">
        <v>506</v>
      </c>
      <c r="G17" s="44" t="n">
        <v>45967</v>
      </c>
      <c r="H17" s="17" t="n">
        <f aca="false">COUNTIF('Orders &amp; Payments'!$C$3:$C$200,$B17)</f>
        <v>1</v>
      </c>
      <c r="I17" s="21" t="n">
        <f aca="false">SUMIFS('Orders &amp; Payments'!$N$3:$N$200,'Orders &amp; Payments'!$C$3:$C$200,$B17,'Orders &amp; Payments'!$G$3:$G$200,"Quotation")</f>
        <v>0</v>
      </c>
      <c r="J17" s="21" t="n">
        <f aca="false">SUMIFS('Orders &amp; Payments'!$N$3:$N$200,'Orders &amp; Payments'!$C$3:$C$200,$B17,'Orders &amp; Payments'!$G$3:$G$200,"Invoice")+SUMIFS('Orders &amp; Payments'!$N$3:$N$200,'Orders &amp; Payments'!$C$3:$C$200,$B17,'Orders &amp; Payments'!$G$3:$G$200,"Delivery-Invoice")</f>
        <v>436.6</v>
      </c>
      <c r="K17" s="21" t="n">
        <f aca="false">SUMIFS('Orders &amp; Payments'!$O$3:$O$200,'Orders &amp; Payments'!$C$3:$C$200,$B17)</f>
        <v>0</v>
      </c>
      <c r="L17" s="23" t="n">
        <f aca="false">SUMIFS('Orders &amp; Payments'!$P$3:$P$200,'Orders &amp; Payments'!$C$3:$C$200,$B17,'Orders &amp; Payments'!$G$3:$G$200,"Invoice")+SUMIFS('Orders &amp; Payments'!$P$3:$P$200,'Orders &amp; Payments'!$C$3:$C$200,$B17,'Orders &amp; Payments'!$G$3:$G$200,"Delivery-Invoice")</f>
        <v>436.6</v>
      </c>
      <c r="M17" s="20" t="s">
        <v>519</v>
      </c>
    </row>
    <row r="18" customFormat="false" ht="15" hidden="false" customHeight="true" outlineLevel="0" collapsed="false">
      <c r="A18" s="45" t="s">
        <v>520</v>
      </c>
      <c r="B18" s="46" t="s">
        <v>162</v>
      </c>
      <c r="C18" s="46" t="s">
        <v>521</v>
      </c>
      <c r="D18" s="47" t="s">
        <v>163</v>
      </c>
      <c r="E18" s="43"/>
      <c r="F18" s="46" t="s">
        <v>496</v>
      </c>
      <c r="G18" s="48" t="n">
        <v>45973</v>
      </c>
      <c r="H18" s="45" t="n">
        <f aca="false">COUNTIF('Orders &amp; Payments'!$C$3:$C$200,$B18)</f>
        <v>1</v>
      </c>
      <c r="I18" s="49" t="n">
        <f aca="false">SUMIFS('Orders &amp; Payments'!$N$3:$N$200,'Orders &amp; Payments'!$C$3:$C$200,$B18,'Orders &amp; Payments'!$G$3:$G$200,"Quotation")</f>
        <v>0</v>
      </c>
      <c r="J18" s="49" t="n">
        <f aca="false">SUMIFS('Orders &amp; Payments'!$N$3:$N$200,'Orders &amp; Payments'!$C$3:$C$200,$B18,'Orders &amp; Payments'!$G$3:$G$200,"Invoice")+SUMIFS('Orders &amp; Payments'!$N$3:$N$200,'Orders &amp; Payments'!$C$3:$C$200,$B18,'Orders &amp; Payments'!$G$3:$G$200,"Delivery-Invoice")</f>
        <v>453.12</v>
      </c>
      <c r="K18" s="49" t="n">
        <f aca="false">SUMIFS('Orders &amp; Payments'!$O$3:$O$200,'Orders &amp; Payments'!$C$3:$C$200,$B18)</f>
        <v>0</v>
      </c>
      <c r="L18" s="50" t="n">
        <f aca="false">SUMIFS('Orders &amp; Payments'!$P$3:$P$200,'Orders &amp; Payments'!$C$3:$C$200,$B18,'Orders &amp; Payments'!$G$3:$G$200,"Invoice")+SUMIFS('Orders &amp; Payments'!$P$3:$P$200,'Orders &amp; Payments'!$C$3:$C$200,$B18,'Orders &amp; Payments'!$G$3:$G$200,"Delivery-Invoice")</f>
        <v>453.12</v>
      </c>
      <c r="M18" s="47" t="s">
        <v>522</v>
      </c>
    </row>
    <row r="19" customFormat="false" ht="34.5" hidden="false" customHeight="true" outlineLevel="0" collapsed="false">
      <c r="A19" s="17" t="s">
        <v>523</v>
      </c>
      <c r="B19" s="19" t="s">
        <v>168</v>
      </c>
      <c r="C19" s="19" t="s">
        <v>499</v>
      </c>
      <c r="D19" s="20" t="s">
        <v>69</v>
      </c>
      <c r="E19" s="43"/>
      <c r="F19" s="19" t="s">
        <v>506</v>
      </c>
      <c r="G19" s="44" t="n">
        <v>45976</v>
      </c>
      <c r="H19" s="17" t="n">
        <f aca="false">COUNTIF('Orders &amp; Payments'!$C$3:$C$200,$B19)</f>
        <v>2</v>
      </c>
      <c r="I19" s="21" t="n">
        <f aca="false">SUMIFS('Orders &amp; Payments'!$N$3:$N$200,'Orders &amp; Payments'!$C$3:$C$200,$B19,'Orders &amp; Payments'!$G$3:$G$200,"Quotation")</f>
        <v>7581.5</v>
      </c>
      <c r="J19" s="21" t="n">
        <f aca="false">SUMIFS('Orders &amp; Payments'!$N$3:$N$200,'Orders &amp; Payments'!$C$3:$C$200,$B19,'Orders &amp; Payments'!$G$3:$G$200,"Invoice")+SUMIFS('Orders &amp; Payments'!$N$3:$N$200,'Orders &amp; Payments'!$C$3:$C$200,$B19,'Orders &amp; Payments'!$G$3:$G$200,"Delivery-Invoice")</f>
        <v>0</v>
      </c>
      <c r="K19" s="21" t="n">
        <f aca="false">SUMIFS('Orders &amp; Payments'!$O$3:$O$200,'Orders &amp; Payments'!$C$3:$C$200,$B19)</f>
        <v>0</v>
      </c>
      <c r="L19" s="23" t="n">
        <f aca="false">SUMIFS('Orders &amp; Payments'!$P$3:$P$200,'Orders &amp; Payments'!$C$3:$C$200,$B19,'Orders &amp; Payments'!$G$3:$G$200,"Invoice")+SUMIFS('Orders &amp; Payments'!$P$3:$P$200,'Orders &amp; Payments'!$C$3:$C$200,$B19,'Orders &amp; Payments'!$G$3:$G$200,"Delivery-Invoice")</f>
        <v>0</v>
      </c>
      <c r="M19" s="20" t="s">
        <v>524</v>
      </c>
    </row>
    <row r="20" customFormat="false" ht="45.75" hidden="false" customHeight="true" outlineLevel="0" collapsed="false">
      <c r="A20" s="45" t="s">
        <v>525</v>
      </c>
      <c r="B20" s="46" t="s">
        <v>177</v>
      </c>
      <c r="C20" s="46" t="s">
        <v>526</v>
      </c>
      <c r="D20" s="47" t="s">
        <v>527</v>
      </c>
      <c r="E20" s="43"/>
      <c r="F20" s="46" t="s">
        <v>528</v>
      </c>
      <c r="G20" s="48" t="n">
        <v>45978</v>
      </c>
      <c r="H20" s="45" t="n">
        <f aca="false">COUNTIF('Orders &amp; Payments'!$C$3:$C$200,$B20)</f>
        <v>2</v>
      </c>
      <c r="I20" s="49" t="n">
        <f aca="false">SUMIFS('Orders &amp; Payments'!$N$3:$N$200,'Orders &amp; Payments'!$C$3:$C$200,$B20,'Orders &amp; Payments'!$G$3:$G$200,"Quotation")</f>
        <v>0</v>
      </c>
      <c r="J20" s="49" t="n">
        <f aca="false">SUMIFS('Orders &amp; Payments'!$N$3:$N$200,'Orders &amp; Payments'!$C$3:$C$200,$B20,'Orders &amp; Payments'!$G$3:$G$200,"Invoice")+SUMIFS('Orders &amp; Payments'!$N$3:$N$200,'Orders &amp; Payments'!$C$3:$C$200,$B20,'Orders &amp; Payments'!$G$3:$G$200,"Delivery-Invoice")</f>
        <v>2301</v>
      </c>
      <c r="K20" s="49" t="n">
        <f aca="false">SUMIFS('Orders &amp; Payments'!$O$3:$O$200,'Orders &amp; Payments'!$C$3:$C$200,$B20)</f>
        <v>0</v>
      </c>
      <c r="L20" s="50" t="n">
        <f aca="false">SUMIFS('Orders &amp; Payments'!$P$3:$P$200,'Orders &amp; Payments'!$C$3:$C$200,$B20,'Orders &amp; Payments'!$G$3:$G$200,"Invoice")+SUMIFS('Orders &amp; Payments'!$P$3:$P$200,'Orders &amp; Payments'!$C$3:$C$200,$B20,'Orders &amp; Payments'!$G$3:$G$200,"Delivery-Invoice")</f>
        <v>2301</v>
      </c>
      <c r="M20" s="47" t="s">
        <v>529</v>
      </c>
    </row>
    <row r="21" customFormat="false" ht="23.25" hidden="false" customHeight="true" outlineLevel="0" collapsed="false">
      <c r="A21" s="17" t="s">
        <v>530</v>
      </c>
      <c r="B21" s="19" t="s">
        <v>186</v>
      </c>
      <c r="C21" s="19" t="s">
        <v>531</v>
      </c>
      <c r="D21" s="20" t="s">
        <v>532</v>
      </c>
      <c r="E21" s="43"/>
      <c r="F21" s="19" t="s">
        <v>533</v>
      </c>
      <c r="G21" s="44" t="n">
        <v>45979</v>
      </c>
      <c r="H21" s="17" t="n">
        <f aca="false">COUNTIF('Orders &amp; Payments'!$C$3:$C$200,$B21)</f>
        <v>1</v>
      </c>
      <c r="I21" s="21" t="n">
        <f aca="false">SUMIFS('Orders &amp; Payments'!$N$3:$N$200,'Orders &amp; Payments'!$C$3:$C$200,$B21,'Orders &amp; Payments'!$G$3:$G$200,"Quotation")</f>
        <v>0</v>
      </c>
      <c r="J21" s="21" t="n">
        <f aca="false">SUMIFS('Orders &amp; Payments'!$N$3:$N$200,'Orders &amp; Payments'!$C$3:$C$200,$B21,'Orders &amp; Payments'!$G$3:$G$200,"Invoice")+SUMIFS('Orders &amp; Payments'!$N$3:$N$200,'Orders &amp; Payments'!$C$3:$C$200,$B21,'Orders &amp; Payments'!$G$3:$G$200,"Delivery-Invoice")</f>
        <v>1000.05</v>
      </c>
      <c r="K21" s="21" t="n">
        <f aca="false">SUMIFS('Orders &amp; Payments'!$O$3:$O$200,'Orders &amp; Payments'!$C$3:$C$200,$B21)</f>
        <v>0</v>
      </c>
      <c r="L21" s="23" t="n">
        <f aca="false">SUMIFS('Orders &amp; Payments'!$P$3:$P$200,'Orders &amp; Payments'!$C$3:$C$200,$B21,'Orders &amp; Payments'!$G$3:$G$200,"Invoice")+SUMIFS('Orders &amp; Payments'!$P$3:$P$200,'Orders &amp; Payments'!$C$3:$C$200,$B21,'Orders &amp; Payments'!$G$3:$G$200,"Delivery-Invoice")</f>
        <v>1000.05</v>
      </c>
      <c r="M21" s="20" t="s">
        <v>534</v>
      </c>
    </row>
    <row r="22" customFormat="false" ht="23.25" hidden="false" customHeight="true" outlineLevel="0" collapsed="false">
      <c r="A22" s="45" t="s">
        <v>535</v>
      </c>
      <c r="B22" s="46" t="s">
        <v>200</v>
      </c>
      <c r="C22" s="46" t="s">
        <v>536</v>
      </c>
      <c r="D22" s="47" t="s">
        <v>537</v>
      </c>
      <c r="E22" s="43"/>
      <c r="F22" s="46" t="s">
        <v>538</v>
      </c>
      <c r="G22" s="48" t="n">
        <v>45995</v>
      </c>
      <c r="H22" s="45" t="n">
        <f aca="false">COUNTIF('Orders &amp; Payments'!$C$3:$C$200,$B22)</f>
        <v>1</v>
      </c>
      <c r="I22" s="49" t="n">
        <f aca="false">SUMIFS('Orders &amp; Payments'!$N$3:$N$200,'Orders &amp; Payments'!$C$3:$C$200,$B22,'Orders &amp; Payments'!$G$3:$G$200,"Quotation")</f>
        <v>0</v>
      </c>
      <c r="J22" s="49" t="n">
        <f aca="false">SUMIFS('Orders &amp; Payments'!$N$3:$N$200,'Orders &amp; Payments'!$C$3:$C$200,$B22,'Orders &amp; Payments'!$G$3:$G$200,"Invoice")+SUMIFS('Orders &amp; Payments'!$N$3:$N$200,'Orders &amp; Payments'!$C$3:$C$200,$B22,'Orders &amp; Payments'!$G$3:$G$200,"Delivery-Invoice")</f>
        <v>489.7</v>
      </c>
      <c r="K22" s="49" t="n">
        <f aca="false">SUMIFS('Orders &amp; Payments'!$O$3:$O$200,'Orders &amp; Payments'!$C$3:$C$200,$B22)</f>
        <v>0</v>
      </c>
      <c r="L22" s="50" t="n">
        <f aca="false">SUMIFS('Orders &amp; Payments'!$P$3:$P$200,'Orders &amp; Payments'!$C$3:$C$200,$B22,'Orders &amp; Payments'!$G$3:$G$200,"Invoice")+SUMIFS('Orders &amp; Payments'!$P$3:$P$200,'Orders &amp; Payments'!$C$3:$C$200,$B22,'Orders &amp; Payments'!$G$3:$G$200,"Delivery-Invoice")</f>
        <v>489.7</v>
      </c>
      <c r="M22" s="47" t="s">
        <v>539</v>
      </c>
    </row>
    <row r="23" customFormat="false" ht="90.75" hidden="false" customHeight="true" outlineLevel="0" collapsed="false">
      <c r="A23" s="17" t="s">
        <v>540</v>
      </c>
      <c r="B23" s="19" t="s">
        <v>212</v>
      </c>
      <c r="C23" s="19" t="s">
        <v>499</v>
      </c>
      <c r="D23" s="20" t="s">
        <v>69</v>
      </c>
      <c r="E23" s="43"/>
      <c r="F23" s="19" t="s">
        <v>541</v>
      </c>
      <c r="G23" s="44" t="n">
        <v>45996</v>
      </c>
      <c r="H23" s="17" t="n">
        <f aca="false">COUNTIF('Orders &amp; Payments'!$C$3:$C$200,$B23)</f>
        <v>11</v>
      </c>
      <c r="I23" s="21" t="n">
        <f aca="false">SUMIFS('Orders &amp; Payments'!$N$3:$N$200,'Orders &amp; Payments'!$C$3:$C$200,$B23,'Orders &amp; Payments'!$G$3:$G$200,"Quotation")</f>
        <v>71902.6</v>
      </c>
      <c r="J23" s="21" t="n">
        <f aca="false">SUMIFS('Orders &amp; Payments'!$N$3:$N$200,'Orders &amp; Payments'!$C$3:$C$200,$B23,'Orders &amp; Payments'!$G$3:$G$200,"Invoice")+SUMIFS('Orders &amp; Payments'!$N$3:$N$200,'Orders &amp; Payments'!$C$3:$C$200,$B23,'Orders &amp; Payments'!$G$3:$G$200,"Delivery-Invoice")</f>
        <v>16348.88</v>
      </c>
      <c r="K23" s="21" t="n">
        <f aca="false">SUMIFS('Orders &amp; Payments'!$O$3:$O$200,'Orders &amp; Payments'!$C$3:$C$200,$B23)</f>
        <v>0</v>
      </c>
      <c r="L23" s="23" t="n">
        <f aca="false">SUMIFS('Orders &amp; Payments'!$P$3:$P$200,'Orders &amp; Payments'!$C$3:$C$200,$B23,'Orders &amp; Payments'!$G$3:$G$200,"Invoice")+SUMIFS('Orders &amp; Payments'!$P$3:$P$200,'Orders &amp; Payments'!$C$3:$C$200,$B23,'Orders &amp; Payments'!$G$3:$G$200,"Delivery-Invoice")</f>
        <v>16348.88</v>
      </c>
      <c r="M23" s="20" t="s">
        <v>542</v>
      </c>
    </row>
    <row r="24" customFormat="false" ht="23.25" hidden="false" customHeight="true" outlineLevel="0" collapsed="false">
      <c r="A24" s="45" t="s">
        <v>543</v>
      </c>
      <c r="B24" s="46" t="s">
        <v>226</v>
      </c>
      <c r="C24" s="46" t="s">
        <v>544</v>
      </c>
      <c r="D24" s="47" t="s">
        <v>545</v>
      </c>
      <c r="E24" s="43"/>
      <c r="F24" s="46" t="s">
        <v>546</v>
      </c>
      <c r="G24" s="48" t="n">
        <v>45999</v>
      </c>
      <c r="H24" s="45" t="n">
        <f aca="false">COUNTIF('Orders &amp; Payments'!$C$3:$C$200,$B24)</f>
        <v>1</v>
      </c>
      <c r="I24" s="49" t="n">
        <f aca="false">SUMIFS('Orders &amp; Payments'!$N$3:$N$200,'Orders &amp; Payments'!$C$3:$C$200,$B24,'Orders &amp; Payments'!$G$3:$G$200,"Quotation")</f>
        <v>0</v>
      </c>
      <c r="J24" s="49" t="n">
        <f aca="false">SUMIFS('Orders &amp; Payments'!$N$3:$N$200,'Orders &amp; Payments'!$C$3:$C$200,$B24,'Orders &amp; Payments'!$G$3:$G$200,"Invoice")+SUMIFS('Orders &amp; Payments'!$N$3:$N$200,'Orders &amp; Payments'!$C$3:$C$200,$B24,'Orders &amp; Payments'!$G$3:$G$200,"Delivery-Invoice")</f>
        <v>1183.93</v>
      </c>
      <c r="K24" s="49" t="n">
        <f aca="false">SUMIFS('Orders &amp; Payments'!$O$3:$O$200,'Orders &amp; Payments'!$C$3:$C$200,$B24)</f>
        <v>0</v>
      </c>
      <c r="L24" s="50" t="n">
        <f aca="false">SUMIFS('Orders &amp; Payments'!$P$3:$P$200,'Orders &amp; Payments'!$C$3:$C$200,$B24,'Orders &amp; Payments'!$G$3:$G$200,"Invoice")+SUMIFS('Orders &amp; Payments'!$P$3:$P$200,'Orders &amp; Payments'!$C$3:$C$200,$B24,'Orders &amp; Payments'!$G$3:$G$200,"Delivery-Invoice")</f>
        <v>1183.93</v>
      </c>
      <c r="M24" s="47" t="s">
        <v>547</v>
      </c>
    </row>
    <row r="25" customFormat="false" ht="45.75" hidden="false" customHeight="true" outlineLevel="0" collapsed="false">
      <c r="A25" s="17" t="s">
        <v>548</v>
      </c>
      <c r="B25" s="19" t="s">
        <v>231</v>
      </c>
      <c r="C25" s="19" t="s">
        <v>499</v>
      </c>
      <c r="D25" s="20" t="s">
        <v>549</v>
      </c>
      <c r="E25" s="43"/>
      <c r="F25" s="19" t="s">
        <v>546</v>
      </c>
      <c r="G25" s="44" t="n">
        <v>45999</v>
      </c>
      <c r="H25" s="17" t="n">
        <f aca="false">COUNTIF('Orders &amp; Payments'!$C$3:$C$200,$B25)</f>
        <v>1</v>
      </c>
      <c r="I25" s="21" t="n">
        <f aca="false">SUMIFS('Orders &amp; Payments'!$N$3:$N$200,'Orders &amp; Payments'!$C$3:$C$200,$B25,'Orders &amp; Payments'!$G$3:$G$200,"Quotation")</f>
        <v>0</v>
      </c>
      <c r="J25" s="21" t="n">
        <f aca="false">SUMIFS('Orders &amp; Payments'!$N$3:$N$200,'Orders &amp; Payments'!$C$3:$C$200,$B25,'Orders &amp; Payments'!$G$3:$G$200,"Invoice")+SUMIFS('Orders &amp; Payments'!$N$3:$N$200,'Orders &amp; Payments'!$C$3:$C$200,$B25,'Orders &amp; Payments'!$G$3:$G$200,"Delivery-Invoice")</f>
        <v>2367.87</v>
      </c>
      <c r="K25" s="21" t="n">
        <f aca="false">SUMIFS('Orders &amp; Payments'!$O$3:$O$200,'Orders &amp; Payments'!$C$3:$C$200,$B25)</f>
        <v>0</v>
      </c>
      <c r="L25" s="23" t="n">
        <f aca="false">SUMIFS('Orders &amp; Payments'!$P$3:$P$200,'Orders &amp; Payments'!$C$3:$C$200,$B25,'Orders &amp; Payments'!$G$3:$G$200,"Invoice")+SUMIFS('Orders &amp; Payments'!$P$3:$P$200,'Orders &amp; Payments'!$C$3:$C$200,$B25,'Orders &amp; Payments'!$G$3:$G$200,"Delivery-Invoice")</f>
        <v>2367.87</v>
      </c>
      <c r="M25" s="20" t="s">
        <v>550</v>
      </c>
    </row>
    <row r="26" customFormat="false" ht="15" hidden="false" customHeight="true" outlineLevel="0" collapsed="false">
      <c r="A26" s="45" t="s">
        <v>551</v>
      </c>
      <c r="B26" s="46" t="s">
        <v>298</v>
      </c>
      <c r="C26" s="46" t="s">
        <v>552</v>
      </c>
      <c r="D26" s="47" t="s">
        <v>69</v>
      </c>
      <c r="E26" s="43"/>
      <c r="F26" s="46" t="s">
        <v>496</v>
      </c>
      <c r="G26" s="48" t="n">
        <v>46031</v>
      </c>
      <c r="H26" s="45" t="n">
        <f aca="false">COUNTIF('Orders &amp; Payments'!$C$3:$C$200,$B26)</f>
        <v>1</v>
      </c>
      <c r="I26" s="49" t="n">
        <f aca="false">SUMIFS('Orders &amp; Payments'!$N$3:$N$200,'Orders &amp; Payments'!$C$3:$C$200,$B26,'Orders &amp; Payments'!$G$3:$G$200,"Quotation")</f>
        <v>0</v>
      </c>
      <c r="J26" s="49" t="n">
        <f aca="false">SUMIFS('Orders &amp; Payments'!$N$3:$N$200,'Orders &amp; Payments'!$C$3:$C$200,$B26,'Orders &amp; Payments'!$G$3:$G$200,"Invoice")+SUMIFS('Orders &amp; Payments'!$N$3:$N$200,'Orders &amp; Payments'!$C$3:$C$200,$B26,'Orders &amp; Payments'!$G$3:$G$200,"Delivery-Invoice")</f>
        <v>1400</v>
      </c>
      <c r="K26" s="49" t="n">
        <f aca="false">SUMIFS('Orders &amp; Payments'!$O$3:$O$200,'Orders &amp; Payments'!$C$3:$C$200,$B26)</f>
        <v>0</v>
      </c>
      <c r="L26" s="50" t="n">
        <f aca="false">SUMIFS('Orders &amp; Payments'!$P$3:$P$200,'Orders &amp; Payments'!$C$3:$C$200,$B26,'Orders &amp; Payments'!$G$3:$G$200,"Invoice")+SUMIFS('Orders &amp; Payments'!$P$3:$P$200,'Orders &amp; Payments'!$C$3:$C$200,$B26,'Orders &amp; Payments'!$G$3:$G$200,"Delivery-Invoice")</f>
        <v>1400</v>
      </c>
      <c r="M26" s="47" t="s">
        <v>553</v>
      </c>
    </row>
    <row r="27" customFormat="false" ht="23.25" hidden="false" customHeight="true" outlineLevel="0" collapsed="false">
      <c r="A27" s="17" t="s">
        <v>554</v>
      </c>
      <c r="B27" s="19" t="s">
        <v>312</v>
      </c>
      <c r="C27" s="19" t="s">
        <v>555</v>
      </c>
      <c r="D27" s="20" t="s">
        <v>556</v>
      </c>
      <c r="E27" s="43"/>
      <c r="F27" s="19" t="s">
        <v>546</v>
      </c>
      <c r="G27" s="44" t="n">
        <v>46042</v>
      </c>
      <c r="H27" s="17" t="n">
        <f aca="false">COUNTIF('Orders &amp; Payments'!$C$3:$C$200,$B27)</f>
        <v>3</v>
      </c>
      <c r="I27" s="21" t="n">
        <f aca="false">SUMIFS('Orders &amp; Payments'!$N$3:$N$200,'Orders &amp; Payments'!$C$3:$C$200,$B27,'Orders &amp; Payments'!$G$3:$G$200,"Quotation")</f>
        <v>6110.1</v>
      </c>
      <c r="J27" s="21" t="n">
        <f aca="false">SUMIFS('Orders &amp; Payments'!$N$3:$N$200,'Orders &amp; Payments'!$C$3:$C$200,$B27,'Orders &amp; Payments'!$G$3:$G$200,"Invoice")+SUMIFS('Orders &amp; Payments'!$N$3:$N$200,'Orders &amp; Payments'!$C$3:$C$200,$B27,'Orders &amp; Payments'!$G$3:$G$200,"Delivery-Invoice")</f>
        <v>2900.44</v>
      </c>
      <c r="K27" s="21" t="n">
        <f aca="false">SUMIFS('Orders &amp; Payments'!$O$3:$O$200,'Orders &amp; Payments'!$C$3:$C$200,$B27)</f>
        <v>0</v>
      </c>
      <c r="L27" s="23" t="n">
        <f aca="false">SUMIFS('Orders &amp; Payments'!$P$3:$P$200,'Orders &amp; Payments'!$C$3:$C$200,$B27,'Orders &amp; Payments'!$G$3:$G$200,"Invoice")+SUMIFS('Orders &amp; Payments'!$P$3:$P$200,'Orders &amp; Payments'!$C$3:$C$200,$B27,'Orders &amp; Payments'!$G$3:$G$200,"Delivery-Invoice")</f>
        <v>2900.44</v>
      </c>
      <c r="M27" s="20" t="s">
        <v>557</v>
      </c>
    </row>
    <row r="28" customFormat="false" ht="23.25" hidden="false" customHeight="true" outlineLevel="0" collapsed="false">
      <c r="A28" s="45" t="s">
        <v>558</v>
      </c>
      <c r="B28" s="46" t="s">
        <v>333</v>
      </c>
      <c r="C28" s="46" t="s">
        <v>499</v>
      </c>
      <c r="D28" s="47" t="s">
        <v>559</v>
      </c>
      <c r="E28" s="43"/>
      <c r="F28" s="46" t="s">
        <v>506</v>
      </c>
      <c r="G28" s="48" t="n">
        <v>46053</v>
      </c>
      <c r="H28" s="45" t="n">
        <f aca="false">COUNTIF('Orders &amp; Payments'!$C$3:$C$200,$B28)</f>
        <v>3</v>
      </c>
      <c r="I28" s="49" t="n">
        <f aca="false">SUMIFS('Orders &amp; Payments'!$N$3:$N$200,'Orders &amp; Payments'!$C$3:$C$200,$B28,'Orders &amp; Payments'!$G$3:$G$200,"Quotation")</f>
        <v>14917.56</v>
      </c>
      <c r="J28" s="49" t="n">
        <f aca="false">SUMIFS('Orders &amp; Payments'!$N$3:$N$200,'Orders &amp; Payments'!$C$3:$C$200,$B28,'Orders &amp; Payments'!$G$3:$G$200,"Invoice")+SUMIFS('Orders &amp; Payments'!$N$3:$N$200,'Orders &amp; Payments'!$C$3:$C$200,$B28,'Orders &amp; Payments'!$G$3:$G$200,"Delivery-Invoice")</f>
        <v>0</v>
      </c>
      <c r="K28" s="49" t="n">
        <f aca="false">SUMIFS('Orders &amp; Payments'!$O$3:$O$200,'Orders &amp; Payments'!$C$3:$C$200,$B28)</f>
        <v>0</v>
      </c>
      <c r="L28" s="50" t="n">
        <f aca="false">SUMIFS('Orders &amp; Payments'!$P$3:$P$200,'Orders &amp; Payments'!$C$3:$C$200,$B28,'Orders &amp; Payments'!$G$3:$G$200,"Invoice")+SUMIFS('Orders &amp; Payments'!$P$3:$P$200,'Orders &amp; Payments'!$C$3:$C$200,$B28,'Orders &amp; Payments'!$G$3:$G$200,"Delivery-Invoice")</f>
        <v>0</v>
      </c>
      <c r="M28" s="47" t="s">
        <v>560</v>
      </c>
    </row>
    <row r="29" customFormat="false" ht="57" hidden="false" customHeight="true" outlineLevel="0" collapsed="false">
      <c r="A29" s="17" t="s">
        <v>561</v>
      </c>
      <c r="B29" s="19" t="s">
        <v>344</v>
      </c>
      <c r="C29" s="19" t="s">
        <v>499</v>
      </c>
      <c r="D29" s="20" t="s">
        <v>345</v>
      </c>
      <c r="E29" s="43"/>
      <c r="F29" s="19" t="s">
        <v>501</v>
      </c>
      <c r="G29" s="44" t="n">
        <v>46055</v>
      </c>
      <c r="H29" s="17" t="n">
        <f aca="false">COUNTIF('Orders &amp; Payments'!$C$3:$C$200,$B29)</f>
        <v>2</v>
      </c>
      <c r="I29" s="21" t="n">
        <f aca="false">SUMIFS('Orders &amp; Payments'!$N$3:$N$200,'Orders &amp; Payments'!$C$3:$C$200,$B29,'Orders &amp; Payments'!$G$3:$G$200,"Quotation")</f>
        <v>43496.04</v>
      </c>
      <c r="J29" s="21" t="n">
        <f aca="false">SUMIFS('Orders &amp; Payments'!$N$3:$N$200,'Orders &amp; Payments'!$C$3:$C$200,$B29,'Orders &amp; Payments'!$G$3:$G$200,"Invoice")+SUMIFS('Orders &amp; Payments'!$N$3:$N$200,'Orders &amp; Payments'!$C$3:$C$200,$B29,'Orders &amp; Payments'!$G$3:$G$200,"Delivery-Invoice")</f>
        <v>0</v>
      </c>
      <c r="K29" s="21" t="n">
        <f aca="false">SUMIFS('Orders &amp; Payments'!$O$3:$O$200,'Orders &amp; Payments'!$C$3:$C$200,$B29)</f>
        <v>0</v>
      </c>
      <c r="L29" s="23" t="n">
        <f aca="false">SUMIFS('Orders &amp; Payments'!$P$3:$P$200,'Orders &amp; Payments'!$C$3:$C$200,$B29,'Orders &amp; Payments'!$G$3:$G$200,"Invoice")+SUMIFS('Orders &amp; Payments'!$P$3:$P$200,'Orders &amp; Payments'!$C$3:$C$200,$B29,'Orders &amp; Payments'!$G$3:$G$200,"Delivery-Invoice")</f>
        <v>0</v>
      </c>
      <c r="M29" s="20" t="s">
        <v>562</v>
      </c>
    </row>
    <row r="30" customFormat="false" ht="23.25" hidden="false" customHeight="true" outlineLevel="0" collapsed="false">
      <c r="A30" s="45" t="s">
        <v>563</v>
      </c>
      <c r="B30" s="46" t="s">
        <v>353</v>
      </c>
      <c r="C30" s="46" t="s">
        <v>499</v>
      </c>
      <c r="D30" s="47" t="s">
        <v>69</v>
      </c>
      <c r="E30" s="43"/>
      <c r="F30" s="46" t="s">
        <v>506</v>
      </c>
      <c r="G30" s="48" t="n">
        <v>46056</v>
      </c>
      <c r="H30" s="45" t="n">
        <f aca="false">COUNTIF('Orders &amp; Payments'!$C$3:$C$200,$B30)</f>
        <v>1</v>
      </c>
      <c r="I30" s="49" t="n">
        <f aca="false">SUMIFS('Orders &amp; Payments'!$N$3:$N$200,'Orders &amp; Payments'!$C$3:$C$200,$B30,'Orders &amp; Payments'!$G$3:$G$200,"Quotation")</f>
        <v>0</v>
      </c>
      <c r="J30" s="49" t="n">
        <f aca="false">SUMIFS('Orders &amp; Payments'!$N$3:$N$200,'Orders &amp; Payments'!$C$3:$C$200,$B30,'Orders &amp; Payments'!$G$3:$G$200,"Invoice")+SUMIFS('Orders &amp; Payments'!$N$3:$N$200,'Orders &amp; Payments'!$C$3:$C$200,$B30,'Orders &amp; Payments'!$G$3:$G$200,"Delivery-Invoice")</f>
        <v>348.1</v>
      </c>
      <c r="K30" s="49" t="n">
        <f aca="false">SUMIFS('Orders &amp; Payments'!$O$3:$O$200,'Orders &amp; Payments'!$C$3:$C$200,$B30)</f>
        <v>0</v>
      </c>
      <c r="L30" s="50" t="n">
        <f aca="false">SUMIFS('Orders &amp; Payments'!$P$3:$P$200,'Orders &amp; Payments'!$C$3:$C$200,$B30,'Orders &amp; Payments'!$G$3:$G$200,"Invoice")+SUMIFS('Orders &amp; Payments'!$P$3:$P$200,'Orders &amp; Payments'!$C$3:$C$200,$B30,'Orders &amp; Payments'!$G$3:$G$200,"Delivery-Invoice")</f>
        <v>348.1</v>
      </c>
      <c r="M30" s="47" t="s">
        <v>564</v>
      </c>
    </row>
    <row r="31" customFormat="false" ht="23.25" hidden="false" customHeight="true" outlineLevel="0" collapsed="false">
      <c r="A31" s="17" t="s">
        <v>565</v>
      </c>
      <c r="B31" s="19" t="s">
        <v>375</v>
      </c>
      <c r="C31" s="19" t="s">
        <v>499</v>
      </c>
      <c r="D31" s="20" t="s">
        <v>376</v>
      </c>
      <c r="E31" s="43"/>
      <c r="F31" s="19" t="s">
        <v>496</v>
      </c>
      <c r="G31" s="44" t="n">
        <v>46057</v>
      </c>
      <c r="H31" s="17" t="n">
        <f aca="false">COUNTIF('Orders &amp; Payments'!$C$3:$C$200,$B31)</f>
        <v>1</v>
      </c>
      <c r="I31" s="21" t="n">
        <f aca="false">SUMIFS('Orders &amp; Payments'!$N$3:$N$200,'Orders &amp; Payments'!$C$3:$C$200,$B31,'Orders &amp; Payments'!$G$3:$G$200,"Quotation")</f>
        <v>725.7</v>
      </c>
      <c r="J31" s="21" t="n">
        <f aca="false">SUMIFS('Orders &amp; Payments'!$N$3:$N$200,'Orders &amp; Payments'!$C$3:$C$200,$B31,'Orders &amp; Payments'!$G$3:$G$200,"Invoice")+SUMIFS('Orders &amp; Payments'!$N$3:$N$200,'Orders &amp; Payments'!$C$3:$C$200,$B31,'Orders &amp; Payments'!$G$3:$G$200,"Delivery-Invoice")</f>
        <v>0</v>
      </c>
      <c r="K31" s="21" t="n">
        <f aca="false">SUMIFS('Orders &amp; Payments'!$O$3:$O$200,'Orders &amp; Payments'!$C$3:$C$200,$B31)</f>
        <v>0</v>
      </c>
      <c r="L31" s="23" t="n">
        <f aca="false">SUMIFS('Orders &amp; Payments'!$P$3:$P$200,'Orders &amp; Payments'!$C$3:$C$200,$B31,'Orders &amp; Payments'!$G$3:$G$200,"Invoice")+SUMIFS('Orders &amp; Payments'!$P$3:$P$200,'Orders &amp; Payments'!$C$3:$C$200,$B31,'Orders &amp; Payments'!$G$3:$G$200,"Delivery-Invoice")</f>
        <v>0</v>
      </c>
      <c r="M31" s="20" t="s">
        <v>566</v>
      </c>
    </row>
    <row r="32" customFormat="false" ht="23.25" hidden="false" customHeight="true" outlineLevel="0" collapsed="false">
      <c r="A32" s="45" t="s">
        <v>567</v>
      </c>
      <c r="B32" s="46" t="s">
        <v>381</v>
      </c>
      <c r="C32" s="46" t="s">
        <v>499</v>
      </c>
      <c r="D32" s="47" t="s">
        <v>382</v>
      </c>
      <c r="E32" s="43"/>
      <c r="F32" s="46" t="s">
        <v>506</v>
      </c>
      <c r="G32" s="48" t="n">
        <v>46057</v>
      </c>
      <c r="H32" s="45" t="n">
        <f aca="false">COUNTIF('Orders &amp; Payments'!$C$3:$C$200,$B32)</f>
        <v>1</v>
      </c>
      <c r="I32" s="49" t="n">
        <f aca="false">SUMIFS('Orders &amp; Payments'!$N$3:$N$200,'Orders &amp; Payments'!$C$3:$C$200,$B32,'Orders &amp; Payments'!$G$3:$G$200,"Quotation")</f>
        <v>5046.86</v>
      </c>
      <c r="J32" s="49" t="n">
        <f aca="false">SUMIFS('Orders &amp; Payments'!$N$3:$N$200,'Orders &amp; Payments'!$C$3:$C$200,$B32,'Orders &amp; Payments'!$G$3:$G$200,"Invoice")+SUMIFS('Orders &amp; Payments'!$N$3:$N$200,'Orders &amp; Payments'!$C$3:$C$200,$B32,'Orders &amp; Payments'!$G$3:$G$200,"Delivery-Invoice")</f>
        <v>0</v>
      </c>
      <c r="K32" s="49" t="n">
        <f aca="false">SUMIFS('Orders &amp; Payments'!$O$3:$O$200,'Orders &amp; Payments'!$C$3:$C$200,$B32)</f>
        <v>0</v>
      </c>
      <c r="L32" s="50" t="n">
        <f aca="false">SUMIFS('Orders &amp; Payments'!$P$3:$P$200,'Orders &amp; Payments'!$C$3:$C$200,$B32,'Orders &amp; Payments'!$G$3:$G$200,"Invoice")+SUMIFS('Orders &amp; Payments'!$P$3:$P$200,'Orders &amp; Payments'!$C$3:$C$200,$B32,'Orders &amp; Payments'!$G$3:$G$200,"Delivery-Invoice")</f>
        <v>0</v>
      </c>
      <c r="M32" s="47" t="s">
        <v>568</v>
      </c>
    </row>
    <row r="33" customFormat="false" ht="15" hidden="false" customHeight="true" outlineLevel="0" collapsed="false">
      <c r="A33" s="17" t="s">
        <v>569</v>
      </c>
      <c r="B33" s="19" t="s">
        <v>390</v>
      </c>
      <c r="C33" s="19" t="s">
        <v>570</v>
      </c>
      <c r="D33" s="20" t="s">
        <v>571</v>
      </c>
      <c r="E33" s="43"/>
      <c r="F33" s="19" t="s">
        <v>572</v>
      </c>
      <c r="G33" s="44" t="n">
        <v>46059</v>
      </c>
      <c r="H33" s="17" t="n">
        <f aca="false">COUNTIF('Orders &amp; Payments'!$C$3:$C$200,$B33)</f>
        <v>1</v>
      </c>
      <c r="I33" s="21" t="n">
        <f aca="false">SUMIFS('Orders &amp; Payments'!$N$3:$N$200,'Orders &amp; Payments'!$C$3:$C$200,$B33,'Orders &amp; Payments'!$G$3:$G$200,"Quotation")</f>
        <v>0</v>
      </c>
      <c r="J33" s="21" t="n">
        <f aca="false">SUMIFS('Orders &amp; Payments'!$N$3:$N$200,'Orders &amp; Payments'!$C$3:$C$200,$B33,'Orders &amp; Payments'!$G$3:$G$200,"Invoice")+SUMIFS('Orders &amp; Payments'!$N$3:$N$200,'Orders &amp; Payments'!$C$3:$C$200,$B33,'Orders &amp; Payments'!$G$3:$G$200,"Delivery-Invoice")</f>
        <v>10000</v>
      </c>
      <c r="K33" s="21" t="n">
        <f aca="false">SUMIFS('Orders &amp; Payments'!$O$3:$O$200,'Orders &amp; Payments'!$C$3:$C$200,$B33)</f>
        <v>0</v>
      </c>
      <c r="L33" s="23" t="n">
        <f aca="false">SUMIFS('Orders &amp; Payments'!$P$3:$P$200,'Orders &amp; Payments'!$C$3:$C$200,$B33,'Orders &amp; Payments'!$G$3:$G$200,"Invoice")+SUMIFS('Orders &amp; Payments'!$P$3:$P$200,'Orders &amp; Payments'!$C$3:$C$200,$B33,'Orders &amp; Payments'!$G$3:$G$200,"Delivery-Invoice")</f>
        <v>10000</v>
      </c>
      <c r="M33" s="20" t="s">
        <v>573</v>
      </c>
    </row>
    <row r="34" customFormat="false" ht="23.85" hidden="false" customHeight="false" outlineLevel="0" collapsed="false">
      <c r="A34" s="17" t="s">
        <v>574</v>
      </c>
      <c r="B34" s="19" t="s">
        <v>412</v>
      </c>
      <c r="C34" s="19" t="s">
        <v>499</v>
      </c>
      <c r="D34" s="20" t="s">
        <v>247</v>
      </c>
      <c r="E34" s="43"/>
      <c r="F34" s="19" t="s">
        <v>496</v>
      </c>
      <c r="G34" s="44" t="n">
        <v>46055</v>
      </c>
      <c r="H34" s="17" t="n">
        <f aca="false">COUNTIF('Orders &amp; Payments'!$C$3:$C$200,$B34)</f>
        <v>1</v>
      </c>
      <c r="I34" s="21" t="n">
        <f aca="false">SUMIFS('Orders &amp; Payments'!$N$3:$N$200,'Orders &amp; Payments'!$C$3:$C$200,$B34,'Orders &amp; Payments'!$G$3:$G$200,"Quotation")</f>
        <v>7149.62</v>
      </c>
      <c r="J34" s="21" t="n">
        <f aca="false">SUMIFS('Orders &amp; Payments'!$N$3:$N$200,'Orders &amp; Payments'!$C$3:$C$200,$B34,'Orders &amp; Payments'!$G$3:$G$200,"Invoice")+SUMIFS('Orders &amp; Payments'!$N$3:$N$200,'Orders &amp; Payments'!$C$3:$C$200,$B34,'Orders &amp; Payments'!$G$3:$G$200,"Delivery-Invoice")</f>
        <v>0</v>
      </c>
      <c r="K34" s="21" t="n">
        <f aca="false">SUMIFS('Orders &amp; Payments'!$O$3:$O$200,'Orders &amp; Payments'!$C$3:$C$200,$B34)</f>
        <v>0</v>
      </c>
      <c r="L34" s="23" t="n">
        <f aca="false">SUMIFS('Orders &amp; Payments'!$P$3:$P$200,'Orders &amp; Payments'!$C$3:$C$200,$B34,'Orders &amp; Payments'!$G$3:$G$200,"Invoice")+SUMIFS('Orders &amp; Payments'!$P$3:$P$200,'Orders &amp; Payments'!$C$3:$C$200,$B34,'Orders &amp; Payments'!$G$3:$G$200,"Delivery-Invoice")</f>
        <v>0</v>
      </c>
      <c r="M34" s="20" t="s">
        <v>575</v>
      </c>
    </row>
    <row r="35" customFormat="false" ht="23.85" hidden="false" customHeight="false" outlineLevel="0" collapsed="false">
      <c r="A35" s="17" t="s">
        <v>576</v>
      </c>
      <c r="B35" s="19" t="s">
        <v>417</v>
      </c>
      <c r="C35" s="19" t="s">
        <v>577</v>
      </c>
      <c r="D35" s="20" t="s">
        <v>578</v>
      </c>
      <c r="E35" s="43"/>
      <c r="F35" s="19" t="s">
        <v>496</v>
      </c>
      <c r="G35" s="44" t="n">
        <v>46065</v>
      </c>
      <c r="H35" s="17" t="n">
        <f aca="false">COUNTIF('Orders &amp; Payments'!$C$3:$C$200,$B35)</f>
        <v>1</v>
      </c>
      <c r="I35" s="21" t="n">
        <f aca="false">SUMIFS('Orders &amp; Payments'!$N$3:$N$200,'Orders &amp; Payments'!$C$3:$C$200,$B35,'Orders &amp; Payments'!$G$3:$G$200,"Quotation")</f>
        <v>7398.6</v>
      </c>
      <c r="J35" s="21" t="n">
        <f aca="false">SUMIFS('Orders &amp; Payments'!$N$3:$N$200,'Orders &amp; Payments'!$C$3:$C$200,$B35,'Orders &amp; Payments'!$G$3:$G$200,"Invoice")+SUMIFS('Orders &amp; Payments'!$N$3:$N$200,'Orders &amp; Payments'!$C$3:$C$200,$B35,'Orders &amp; Payments'!$G$3:$G$200,"Delivery-Invoice")</f>
        <v>0</v>
      </c>
      <c r="K35" s="21" t="n">
        <f aca="false">SUMIFS('Orders &amp; Payments'!$O$3:$O$200,'Orders &amp; Payments'!$C$3:$C$200,$B35)</f>
        <v>0</v>
      </c>
      <c r="L35" s="23" t="n">
        <f aca="false">SUMIFS('Orders &amp; Payments'!$P$3:$P$200,'Orders &amp; Payments'!$C$3:$C$200,$B35,'Orders &amp; Payments'!$G$3:$G$200,"Invoice")+SUMIFS('Orders &amp; Payments'!$P$3:$P$200,'Orders &amp; Payments'!$C$3:$C$200,$B35,'Orders &amp; Payments'!$G$3:$G$200,"Delivery-Invoice")</f>
        <v>0</v>
      </c>
      <c r="M35" s="20" t="s">
        <v>579</v>
      </c>
    </row>
    <row r="36" customFormat="false" ht="23.85" hidden="false" customHeight="false" outlineLevel="0" collapsed="false">
      <c r="A36" s="17" t="s">
        <v>580</v>
      </c>
      <c r="B36" s="19" t="s">
        <v>423</v>
      </c>
      <c r="C36" s="19" t="s">
        <v>499</v>
      </c>
      <c r="D36" s="20" t="s">
        <v>424</v>
      </c>
      <c r="E36" s="43"/>
      <c r="F36" s="19" t="s">
        <v>496</v>
      </c>
      <c r="G36" s="44" t="n">
        <v>46065</v>
      </c>
      <c r="H36" s="17" t="n">
        <f aca="false">COUNTIF('Orders &amp; Payments'!$C$3:$C$200,$B36)</f>
        <v>1</v>
      </c>
      <c r="I36" s="21" t="n">
        <f aca="false">SUMIFS('Orders &amp; Payments'!$N$3:$N$200,'Orders &amp; Payments'!$C$3:$C$200,$B36,'Orders &amp; Payments'!$G$3:$G$200,"Quotation")</f>
        <v>9196.92</v>
      </c>
      <c r="J36" s="21" t="n">
        <f aca="false">SUMIFS('Orders &amp; Payments'!$N$3:$N$200,'Orders &amp; Payments'!$C$3:$C$200,$B36,'Orders &amp; Payments'!$G$3:$G$200,"Invoice")+SUMIFS('Orders &amp; Payments'!$N$3:$N$200,'Orders &amp; Payments'!$C$3:$C$200,$B36,'Orders &amp; Payments'!$G$3:$G$200,"Delivery-Invoice")</f>
        <v>0</v>
      </c>
      <c r="K36" s="21" t="n">
        <f aca="false">SUMIFS('Orders &amp; Payments'!$O$3:$O$200,'Orders &amp; Payments'!$C$3:$C$200,$B36)</f>
        <v>0</v>
      </c>
      <c r="L36" s="23" t="n">
        <f aca="false">SUMIFS('Orders &amp; Payments'!$P$3:$P$200,'Orders &amp; Payments'!$C$3:$C$200,$B36,'Orders &amp; Payments'!$G$3:$G$200,"Invoice")+SUMIFS('Orders &amp; Payments'!$P$3:$P$200,'Orders &amp; Payments'!$C$3:$C$200,$B36,'Orders &amp; Payments'!$G$3:$G$200,"Delivery-Invoice")</f>
        <v>0</v>
      </c>
      <c r="M36" s="20" t="s">
        <v>581</v>
      </c>
    </row>
    <row r="37" customFormat="false" ht="23.85" hidden="false" customHeight="false" outlineLevel="0" collapsed="false">
      <c r="A37" s="17" t="s">
        <v>582</v>
      </c>
      <c r="B37" s="19" t="s">
        <v>433</v>
      </c>
      <c r="C37" s="19" t="s">
        <v>499</v>
      </c>
      <c r="D37" s="20" t="s">
        <v>583</v>
      </c>
      <c r="E37" s="43"/>
      <c r="F37" s="19" t="s">
        <v>496</v>
      </c>
      <c r="G37" s="44" t="n">
        <v>46060</v>
      </c>
      <c r="H37" s="17" t="n">
        <f aca="false">COUNTIF('Orders &amp; Payments'!$C$3:$C$200,$B37)</f>
        <v>1</v>
      </c>
      <c r="I37" s="21" t="n">
        <f aca="false">SUMIFS('Orders &amp; Payments'!$N$3:$N$200,'Orders &amp; Payments'!$C$3:$C$200,$B37,'Orders &amp; Payments'!$G$3:$G$200,"Quotation")</f>
        <v>0</v>
      </c>
      <c r="J37" s="21" t="n">
        <f aca="false">SUMIFS('Orders &amp; Payments'!$N$3:$N$200,'Orders &amp; Payments'!$C$3:$C$200,$B37,'Orders &amp; Payments'!$G$3:$G$200,"Invoice")+SUMIFS('Orders &amp; Payments'!$N$3:$N$200,'Orders &amp; Payments'!$C$3:$C$200,$B37,'Orders &amp; Payments'!$G$3:$G$200,"Delivery-Invoice")</f>
        <v>11906.79</v>
      </c>
      <c r="K37" s="21" t="n">
        <f aca="false">SUMIFS('Orders &amp; Payments'!$O$3:$O$200,'Orders &amp; Payments'!$C$3:$C$200,$B37)</f>
        <v>4762.71</v>
      </c>
      <c r="L37" s="23" t="n">
        <f aca="false">SUMIFS('Orders &amp; Payments'!$P$3:$P$200,'Orders &amp; Payments'!$C$3:$C$200,$B37,'Orders &amp; Payments'!$G$3:$G$200,"Invoice")+SUMIFS('Orders &amp; Payments'!$P$3:$P$200,'Orders &amp; Payments'!$C$3:$C$200,$B37,'Orders &amp; Payments'!$G$3:$G$200,"Delivery-Invoice")</f>
        <v>7144.08</v>
      </c>
      <c r="M37" s="20" t="s">
        <v>584</v>
      </c>
    </row>
    <row r="38" customFormat="false" ht="23.85" hidden="false" customHeight="false" outlineLevel="0" collapsed="false">
      <c r="A38" s="17" t="s">
        <v>585</v>
      </c>
      <c r="B38" s="19" t="s">
        <v>438</v>
      </c>
      <c r="C38" s="19" t="s">
        <v>586</v>
      </c>
      <c r="D38" s="20" t="s">
        <v>587</v>
      </c>
      <c r="E38" s="43"/>
      <c r="F38" s="19" t="s">
        <v>588</v>
      </c>
      <c r="G38" s="44" t="n">
        <v>46066</v>
      </c>
      <c r="H38" s="17" t="n">
        <f aca="false">COUNTIF('Orders &amp; Payments'!$C$3:$C$200,$B38)</f>
        <v>1</v>
      </c>
      <c r="I38" s="21" t="n">
        <f aca="false">SUMIFS('Orders &amp; Payments'!$N$3:$N$200,'Orders &amp; Payments'!$C$3:$C$200,$B38,'Orders &amp; Payments'!$G$3:$G$200,"Quotation")</f>
        <v>0</v>
      </c>
      <c r="J38" s="21" t="n">
        <f aca="false">SUMIFS('Orders &amp; Payments'!$N$3:$N$200,'Orders &amp; Payments'!$C$3:$C$200,$B38,'Orders &amp; Payments'!$G$3:$G$200,"Invoice")+SUMIFS('Orders &amp; Payments'!$N$3:$N$200,'Orders &amp; Payments'!$C$3:$C$200,$B38,'Orders &amp; Payments'!$G$3:$G$200,"Delivery-Invoice")</f>
        <v>3060.92</v>
      </c>
      <c r="K38" s="21" t="n">
        <f aca="false">SUMIFS('Orders &amp; Payments'!$O$3:$O$200,'Orders &amp; Payments'!$C$3:$C$200,$B38)</f>
        <v>0</v>
      </c>
      <c r="L38" s="23" t="n">
        <f aca="false">SUMIFS('Orders &amp; Payments'!$P$3:$P$200,'Orders &amp; Payments'!$C$3:$C$200,$B38,'Orders &amp; Payments'!$G$3:$G$200,"Invoice")+SUMIFS('Orders &amp; Payments'!$P$3:$P$200,'Orders &amp; Payments'!$C$3:$C$200,$B38,'Orders &amp; Payments'!$G$3:$G$200,"Delivery-Invoice")</f>
        <v>3060.92</v>
      </c>
      <c r="M38" s="20" t="s">
        <v>589</v>
      </c>
    </row>
    <row r="39" customFormat="false" ht="23.85" hidden="false" customHeight="false" outlineLevel="0" collapsed="false">
      <c r="A39" s="17" t="s">
        <v>590</v>
      </c>
      <c r="B39" s="19" t="s">
        <v>428</v>
      </c>
      <c r="C39" s="19" t="s">
        <v>499</v>
      </c>
      <c r="D39" s="20" t="s">
        <v>429</v>
      </c>
      <c r="E39" s="43"/>
      <c r="F39" s="19" t="s">
        <v>591</v>
      </c>
      <c r="G39" s="44" t="n">
        <v>46063</v>
      </c>
      <c r="H39" s="17" t="n">
        <f aca="false">COUNTIF('Orders &amp; Payments'!$C$3:$C$200,$B39)</f>
        <v>1</v>
      </c>
      <c r="I39" s="21" t="n">
        <f aca="false">SUMIFS('Orders &amp; Payments'!$N$3:$N$200,'Orders &amp; Payments'!$C$3:$C$200,$B39,'Orders &amp; Payments'!$G$3:$G$200,"Quotation")</f>
        <v>0</v>
      </c>
      <c r="J39" s="21" t="n">
        <f aca="false">SUMIFS('Orders &amp; Payments'!$N$3:$N$200,'Orders &amp; Payments'!$C$3:$C$200,$B39,'Orders &amp; Payments'!$G$3:$G$200,"Invoice")+SUMIFS('Orders &amp; Payments'!$N$3:$N$200,'Orders &amp; Payments'!$C$3:$C$200,$B39,'Orders &amp; Payments'!$G$3:$G$200,"Delivery-Invoice")</f>
        <v>424.8</v>
      </c>
      <c r="K39" s="21" t="n">
        <f aca="false">SUMIFS('Orders &amp; Payments'!$O$3:$O$200,'Orders &amp; Payments'!$C$3:$C$200,$B39)</f>
        <v>0</v>
      </c>
      <c r="L39" s="23" t="n">
        <f aca="false">SUMIFS('Orders &amp; Payments'!$P$3:$P$200,'Orders &amp; Payments'!$C$3:$C$200,$B39,'Orders &amp; Payments'!$G$3:$G$200,"Invoice")+SUMIFS('Orders &amp; Payments'!$P$3:$P$200,'Orders &amp; Payments'!$C$3:$C$200,$B39,'Orders &amp; Payments'!$G$3:$G$200,"Delivery-Invoice")</f>
        <v>424.8</v>
      </c>
      <c r="M39" s="20" t="s">
        <v>592</v>
      </c>
    </row>
    <row r="40">
      <c r="A40" s="17" t="s">
        <v>869</v>
      </c>
      <c r="B40" s="19" t="s">
        <v>859</v>
      </c>
      <c r="C40" s="19" t="s">
        <v>499</v>
      </c>
      <c r="D40" s="20" t="s">
        <v>163</v>
      </c>
      <c r="F40" s="19" t="s">
        <v>506</v>
      </c>
      <c r="G40" s="44">
        <v>46067</v>
      </c>
      <c r="H40" s="17">
        <f>COUNTIF('Orders &amp; Payments'!$C$3:$C$200,$B40)</f>
      </c>
      <c r="I40" s="21">
        <f>SUMIFS('Orders &amp; Payments'!$N$3:$N$200,'Orders &amp; Payments'!$C$3:$C$200,$B40,'Orders &amp; Payments'!$G$3:$G$200,"Quotation")</f>
      </c>
      <c r="J40" s="21">
        <f>SUMIFS('Orders &amp; Payments'!$N$3:$N$200,'Orders &amp; Payments'!$C$3:$C$200,$B40,'Orders &amp; Payments'!$G$3:$G$200,"Invoice")+SUMIFS('Orders &amp; Payments'!$N$3:$N$200,'Orders &amp; Payments'!$C$3:$C$200,$B40,'Orders &amp; Payments'!$G$3:$G$200,"Delivery-Invoice")</f>
      </c>
      <c r="K40" s="21">
        <f>SUMIFS('Orders &amp; Payments'!$O$3:$O$200,'Orders &amp; Payments'!$C$3:$C$200,$B40)</f>
      </c>
      <c r="L40" s="23">
        <f>SUMIFS('Orders &amp; Payments'!$P$3:$P$200,'Orders &amp; Payments'!$C$3:$C$200,$B40,'Orders &amp; Payments'!$G$3:$G$200,"Invoice")+SUMIFS('Orders &amp; Payments'!$P$3:$P$200,'Orders &amp; Payments'!$C$3:$C$200,$B40,'Orders &amp; Payments'!$G$3:$G$200,"Delivery-Invoice")</f>
      </c>
    </row>
    <row r="41">
      <c r="A41" s="17" t="s">
        <v>870</v>
      </c>
      <c r="B41" s="19" t="s">
        <v>865</v>
      </c>
      <c r="C41" s="19" t="s">
        <v>499</v>
      </c>
      <c r="D41" s="20" t="s">
        <v>866</v>
      </c>
      <c r="F41" s="19" t="s">
        <v>506</v>
      </c>
      <c r="G41" s="44">
        <v>46067</v>
      </c>
      <c r="H41" s="17">
        <f>COUNTIF('Orders &amp; Payments'!$C$3:$C$200,$B41)</f>
      </c>
      <c r="I41" s="21">
        <f>SUMIFS('Orders &amp; Payments'!$N$3:$N$200,'Orders &amp; Payments'!$C$3:$C$200,$B41,'Orders &amp; Payments'!$G$3:$G$200,"Quotation")</f>
      </c>
      <c r="J41" s="21">
        <f>SUMIFS('Orders &amp; Payments'!$N$3:$N$200,'Orders &amp; Payments'!$C$3:$C$200,$B41,'Orders &amp; Payments'!$G$3:$G$200,"Invoice")+SUMIFS('Orders &amp; Payments'!$N$3:$N$200,'Orders &amp; Payments'!$C$3:$C$200,$B41,'Orders &amp; Payments'!$G$3:$G$200,"Delivery-Invoice")</f>
      </c>
      <c r="K41" s="21">
        <f>SUMIFS('Orders &amp; Payments'!$O$3:$O$200,'Orders &amp; Payments'!$C$3:$C$200,$B41)</f>
      </c>
      <c r="L41" s="23">
        <f>SUMIFS('Orders &amp; Payments'!$P$3:$P$200,'Orders &amp; Payments'!$C$3:$C$200,$B41,'Orders &amp; Payments'!$G$3:$G$200,"Invoice")+SUMIFS('Orders &amp; Payments'!$P$3:$P$200,'Orders &amp; Payments'!$C$3:$C$200,$B41,'Orders &amp; Payments'!$G$3:$G$200,"Delivery-Invoice")</f>
      </c>
    </row>
    <row r="42">
      <c r="A42" s="17" t="s">
        <v>900</v>
      </c>
      <c r="B42" s="19" t="s">
        <v>876</v>
      </c>
      <c r="C42" s="19" t="s">
        <v>901</v>
      </c>
      <c r="D42" s="20" t="s">
        <v>877</v>
      </c>
      <c r="E42" s="43"/>
      <c r="F42" s="19" t="s">
        <v>483</v>
      </c>
      <c r="G42" s="44">
        <v>46070</v>
      </c>
      <c r="H42" s="17">
        <f>COUNTIF('Orders &amp; Payments'!$C$3:$C$200,$B42)</f>
      </c>
      <c r="I42" s="21">
        <f>SUMIFS('Orders &amp; Payments'!$N$3:$N$200,'Orders &amp; Payments'!$C$3:$C$200,$B42,'Orders &amp; Payments'!$G$3:$G$200,"Quotation")</f>
      </c>
      <c r="J42" s="21">
        <f>SUMIFS('Orders &amp; Payments'!$N$3:$N$200,'Orders &amp; Payments'!$C$3:$C$200,$B42,'Orders &amp; Payments'!$G$3:$G$200,"Invoice")+SUMIFS('Orders &amp; Payments'!$N$3:$N$200,'Orders &amp; Payments'!$C$3:$C$200,$B42,'Orders &amp; Payments'!$G$3:$G$200,"Delivery-Invoice")</f>
      </c>
      <c r="K42" s="21">
        <f>SUMIFS('Orders &amp; Payments'!$O$3:$O$200,'Orders &amp; Payments'!$C$3:$C$200,$B42)</f>
      </c>
      <c r="L42" s="23">
        <f>SUMIFS('Orders &amp; Payments'!$P$3:$P$200,'Orders &amp; Payments'!$C$3:$C$200,$B42,'Orders &amp; Payments'!$G$3:$G$200,"Invoice")+SUMIFS('Orders &amp; Payments'!$P$3:$P$200,'Orders &amp; Payments'!$C$3:$C$200,$B42,'Orders &amp; Payments'!$G$3:$G$200,"Delivery-Invoice")</f>
      </c>
    </row>
    <row r="43">
      <c r="A43" s="17" t="s">
        <v>902</v>
      </c>
      <c r="B43" s="19" t="s">
        <v>886</v>
      </c>
      <c r="C43" s="19" t="s">
        <v>499</v>
      </c>
      <c r="D43" s="20" t="s">
        <v>887</v>
      </c>
      <c r="E43" s="43"/>
      <c r="F43" s="19" t="s">
        <v>903</v>
      </c>
      <c r="G43" s="44">
        <v>46071</v>
      </c>
      <c r="H43" s="17">
        <f>COUNTIF('Orders &amp; Payments'!$C$3:$C$200,$B43)</f>
      </c>
      <c r="I43" s="21">
        <f>SUMIFS('Orders &amp; Payments'!$N$3:$N$200,'Orders &amp; Payments'!$C$3:$C$200,$B43,'Orders &amp; Payments'!$G$3:$G$200,"Quotation")</f>
      </c>
      <c r="J43" s="21">
        <f>SUMIFS('Orders &amp; Payments'!$N$3:$N$200,'Orders &amp; Payments'!$C$3:$C$200,$B43,'Orders &amp; Payments'!$G$3:$G$200,"Invoice")+SUMIFS('Orders &amp; Payments'!$N$3:$N$200,'Orders &amp; Payments'!$C$3:$C$200,$B43,'Orders &amp; Payments'!$G$3:$G$200,"Delivery-Invoice")</f>
      </c>
      <c r="K43" s="21">
        <f>SUMIFS('Orders &amp; Payments'!$O$3:$O$200,'Orders &amp; Payments'!$C$3:$C$200,$B43)</f>
      </c>
      <c r="L43" s="23">
        <f>SUMIFS('Orders &amp; Payments'!$P$3:$P$200,'Orders &amp; Payments'!$C$3:$C$200,$B43,'Orders &amp; Payments'!$G$3:$G$200,"Invoice")+SUMIFS('Orders &amp; Payments'!$P$3:$P$200,'Orders &amp; Payments'!$C$3:$C$200,$B43,'Orders &amp; Payments'!$G$3:$G$200,"Delivery-Invoice")</f>
      </c>
    </row>
    <row r="44">
      <c r="A44" s="17" t="s">
        <v>904</v>
      </c>
      <c r="B44" s="19" t="s">
        <v>891</v>
      </c>
      <c r="C44" s="19" t="s">
        <v>905</v>
      </c>
      <c r="D44" s="20" t="s">
        <v>892</v>
      </c>
      <c r="E44" s="43"/>
      <c r="F44" s="19" t="s">
        <v>483</v>
      </c>
      <c r="G44" s="44">
        <v>46074</v>
      </c>
      <c r="H44" s="17">
        <f>COUNTIF('Orders &amp; Payments'!$C$3:$C$200,$B44)</f>
      </c>
      <c r="I44" s="21">
        <f>SUMIFS('Orders &amp; Payments'!$N$3:$N$200,'Orders &amp; Payments'!$C$3:$C$200,$B44,'Orders &amp; Payments'!$G$3:$G$200,"Quotation")</f>
      </c>
      <c r="J44" s="21">
        <f>SUMIFS('Orders &amp; Payments'!$N$3:$N$200,'Orders &amp; Payments'!$C$3:$C$200,$B44,'Orders &amp; Payments'!$G$3:$G$200,"Invoice")+SUMIFS('Orders &amp; Payments'!$N$3:$N$200,'Orders &amp; Payments'!$C$3:$C$200,$B44,'Orders &amp; Payments'!$G$3:$G$200,"Delivery-Invoice")</f>
      </c>
      <c r="K44" s="21">
        <f>SUMIFS('Orders &amp; Payments'!$O$3:$O$200,'Orders &amp; Payments'!$C$3:$C$200,$B44)</f>
      </c>
      <c r="L44" s="23">
        <f>SUMIFS('Orders &amp; Payments'!$P$3:$P$200,'Orders &amp; Payments'!$C$3:$C$200,$B44,'Orders &amp; Payments'!$G$3:$G$200,"Invoice")+SUMIFS('Orders &amp; Payments'!$P$3:$P$200,'Orders &amp; Payments'!$C$3:$C$200,$B44,'Orders &amp; Payments'!$G$3:$G$200,"Delivery-Invoice")</f>
      </c>
    </row>
    <row r="45">
      <c r="A45" s="17" t="s">
        <v>906</v>
      </c>
      <c r="B45" s="19" t="s">
        <v>897</v>
      </c>
      <c r="C45" s="19" t="s">
        <v>499</v>
      </c>
      <c r="D45" s="20" t="s">
        <v>898</v>
      </c>
      <c r="E45" s="43"/>
      <c r="F45" s="19" t="s">
        <v>506</v>
      </c>
      <c r="G45" s="44">
        <v>46074</v>
      </c>
      <c r="H45" s="17">
        <f>COUNTIF('Orders &amp; Payments'!$C$3:$C$200,$B45)</f>
      </c>
      <c r="I45" s="21">
        <f>SUMIFS('Orders &amp; Payments'!$N$3:$N$200,'Orders &amp; Payments'!$C$3:$C$200,$B45,'Orders &amp; Payments'!$G$3:$G$200,"Quotation")</f>
      </c>
      <c r="J45" s="21">
        <f>SUMIFS('Orders &amp; Payments'!$N$3:$N$200,'Orders &amp; Payments'!$C$3:$C$200,$B45,'Orders &amp; Payments'!$G$3:$G$200,"Invoice")+SUMIFS('Orders &amp; Payments'!$N$3:$N$200,'Orders &amp; Payments'!$C$3:$C$200,$B45,'Orders &amp; Payments'!$G$3:$G$200,"Delivery-Invoice")</f>
      </c>
      <c r="K45" s="21">
        <f>SUMIFS('Orders &amp; Payments'!$O$3:$O$200,'Orders &amp; Payments'!$C$3:$C$200,$B45)</f>
      </c>
      <c r="L45" s="23">
        <f>SUMIFS('Orders &amp; Payments'!$P$3:$P$200,'Orders &amp; Payments'!$C$3:$C$200,$B45,'Orders &amp; Payments'!$G$3:$G$200,"Invoice")+SUMIFS('Orders &amp; Payments'!$P$3:$P$200,'Orders &amp; Payments'!$C$3:$C$200,$B45,'Orders &amp; Payments'!$G$3:$G$200,"Delivery-Invoice")</f>
      </c>
    </row>
    <row r="46">
      <c r="A46" t="s">
        <v>932</v>
      </c>
      <c r="B46" t="s">
        <v>200</v>
      </c>
      <c r="C46" t="s">
        <v>536</v>
      </c>
      <c r="D46" t="s">
        <v>920</v>
      </c>
      <c r="F46" t="s">
        <v>951</v>
      </c>
      <c r="G46">
        <v>46078</v>
      </c>
      <c r="H46">
        <f>COUNTIF('Orders &amp; Payments'!$C$3:$C$200,$B46)</f>
      </c>
      <c r="I46">
        <f>SUMIFS('Orders &amp; Payments'!$N$3:$N$200,'Orders &amp; Payments'!$C$3:$C$200,$B46,'Orders &amp; Payments'!$G$3:$G$200,"Quotation")</f>
      </c>
      <c r="J46">
        <f>SUMIFS('Orders &amp; Payments'!$N$3:$N$200,'Orders &amp; Payments'!$C$3:$C$200,$B46,'Orders &amp; Payments'!$G$3:$G$200,"Invoice")+SUMIFS('Orders &amp; Payments'!$N$3:$N$200,'Orders &amp; Payments'!$C$3:$C$200,$B46,'Orders &amp; Payments'!$G$3:$G$200,"Delivery-Invoice")</f>
      </c>
      <c r="K46">
        <f>SUMIFS('Orders &amp; Payments'!$O$3:$O$200,'Orders &amp; Payments'!$C$3:$C$200,$B46)</f>
      </c>
      <c r="L46">
        <f>SUMIFS('Orders &amp; Payments'!$P$3:$P$200,'Orders &amp; Payments'!$C$3:$C$200,$B46,'Orders &amp; Payments'!$G$3:$G$200,"Invoice")+SUMIFS('Orders &amp; Payments'!$P$3:$P$200,'Orders &amp; Payments'!$C$3:$C$200,$B46,'Orders &amp; Payments'!$G$3:$G$200,"Delivery-Invoice")</f>
      </c>
    </row>
    <row r="47">
      <c r="A47" t="s">
        <v>933</v>
      </c>
      <c r="B47" t="s">
        <v>922</v>
      </c>
      <c r="C47" t="s">
        <v>936</v>
      </c>
      <c r="D47" t="s">
        <v>163</v>
      </c>
      <c r="F47" t="s">
        <v>506</v>
      </c>
      <c r="G47">
        <v>46076</v>
      </c>
      <c r="H47">
        <f>COUNTIF('Orders &amp; Payments'!$C$3:$C$200,$B47)</f>
      </c>
      <c r="I47">
        <f>SUMIFS('Orders &amp; Payments'!$N$3:$N$200,'Orders &amp; Payments'!$C$3:$C$200,$B47,'Orders &amp; Payments'!$G$3:$G$200,"Quotation")</f>
      </c>
      <c r="J47">
        <f>SUMIFS('Orders &amp; Payments'!$N$3:$N$200,'Orders &amp; Payments'!$C$3:$C$200,$B47,'Orders &amp; Payments'!$G$3:$G$200,"Invoice")+SUMIFS('Orders &amp; Payments'!$N$3:$N$200,'Orders &amp; Payments'!$C$3:$C$200,$B47,'Orders &amp; Payments'!$G$3:$G$200,"Delivery-Invoice")</f>
      </c>
      <c r="K47">
        <f>SUMIFS('Orders &amp; Payments'!$O$3:$O$200,'Orders &amp; Payments'!$C$3:$C$200,$B47)</f>
      </c>
      <c r="L47">
        <f>SUMIFS('Orders &amp; Payments'!$P$3:$P$200,'Orders &amp; Payments'!$C$3:$C$200,$B47,'Orders &amp; Payments'!$G$3:$G$200,"Invoice")+SUMIFS('Orders &amp; Payments'!$P$3:$P$200,'Orders &amp; Payments'!$C$3:$C$200,$B47,'Orders &amp; Payments'!$G$3:$G$200,"Delivery-Invoice")</f>
      </c>
    </row>
    <row r="48">
      <c r="A48" t="s">
        <v>934</v>
      </c>
      <c r="B48" t="s">
        <v>925</v>
      </c>
      <c r="D48" t="s">
        <v>926</v>
      </c>
      <c r="F48" t="s">
        <v>506</v>
      </c>
      <c r="G48">
        <v>46079</v>
      </c>
      <c r="H48">
        <f>COUNTIF('Orders &amp; Payments'!$C$3:$C$200,$B48)</f>
      </c>
      <c r="I48">
        <f>SUMIFS('Orders &amp; Payments'!$N$3:$N$200,'Orders &amp; Payments'!$C$3:$C$200,$B48,'Orders &amp; Payments'!$G$3:$G$200,"Quotation")</f>
      </c>
      <c r="J48">
        <f>SUMIFS('Orders &amp; Payments'!$N$3:$N$200,'Orders &amp; Payments'!$C$3:$C$200,$B48,'Orders &amp; Payments'!$G$3:$G$200,"Invoice")+SUMIFS('Orders &amp; Payments'!$N$3:$N$200,'Orders &amp; Payments'!$C$3:$C$200,$B48,'Orders &amp; Payments'!$G$3:$G$200,"Delivery-Invoice")</f>
      </c>
      <c r="K48">
        <f>SUMIFS('Orders &amp; Payments'!$O$3:$O$200,'Orders &amp; Payments'!$C$3:$C$200,$B48)</f>
      </c>
      <c r="L48">
        <f>SUMIFS('Orders &amp; Payments'!$P$3:$P$200,'Orders &amp; Payments'!$C$3:$C$200,$B48,'Orders &amp; Payments'!$G$3:$G$200,"Invoice")+SUMIFS('Orders &amp; Payments'!$P$3:$P$200,'Orders &amp; Payments'!$C$3:$C$200,$B48,'Orders &amp; Payments'!$G$3:$G$200,"Delivery-Invoice")</f>
      </c>
    </row>
    <row r="49">
      <c r="A49" t="s">
        <v>935</v>
      </c>
      <c r="B49" t="s">
        <v>915</v>
      </c>
      <c r="D49" t="s">
        <v>69</v>
      </c>
      <c r="F49" t="s">
        <v>506</v>
      </c>
      <c r="G49">
        <v>46074</v>
      </c>
      <c r="H49">
        <f>COUNTIF('Orders &amp; Payments'!$C$3:$C$200,$B49)</f>
      </c>
      <c r="I49">
        <f>SUMIFS('Orders &amp; Payments'!$N$3:$N$200,'Orders &amp; Payments'!$C$3:$C$200,$B49,'Orders &amp; Payments'!$G$3:$G$200,"Quotation")</f>
      </c>
      <c r="J49">
        <f>SUMIFS('Orders &amp; Payments'!$N$3:$N$200,'Orders &amp; Payments'!$C$3:$C$200,$B49,'Orders &amp; Payments'!$G$3:$G$200,"Invoice")+SUMIFS('Orders &amp; Payments'!$N$3:$N$200,'Orders &amp; Payments'!$C$3:$C$200,$B49,'Orders &amp; Payments'!$G$3:$G$200,"Delivery-Invoice")</f>
      </c>
      <c r="K49">
        <f>SUMIFS('Orders &amp; Payments'!$O$3:$O$200,'Orders &amp; Payments'!$C$3:$C$200,$B49)</f>
      </c>
      <c r="L49">
        <f>SUMIFS('Orders &amp; Payments'!$P$3:$P$200,'Orders &amp; Payments'!$C$3:$C$200,$B49,'Orders &amp; Payments'!$G$3:$G$200,"Invoice")+SUMIFS('Orders &amp; Payments'!$P$3:$P$200,'Orders &amp; Payments'!$C$3:$C$200,$B49,'Orders &amp; Payments'!$G$3:$G$200,"Delivery-Invoice")</f>
      </c>
    </row>
    <row r="50">
      <c r="A50" t="s">
        <v>1022</v>
      </c>
      <c r="B50" t="s">
        <v>1012</v>
      </c>
      <c r="D50" t="s">
        <v>247</v>
      </c>
      <c r="F50" t="s">
        <v>506</v>
      </c>
      <c r="G50">
        <v>46083</v>
      </c>
      <c r="H50">
        <f>COUNTIF('Orders &amp; Payments'!$C$3:$C$200,$B50)</f>
      </c>
      <c r="I50">
        <f>SUMIFS('Orders &amp; Payments'!$N$3:$N$200,'Orders &amp; Payments'!$C$3:$C$200,$B50,'Orders &amp; Payments'!$G$3:$G$200,"Quotation")</f>
      </c>
      <c r="J50">
        <f>SUMIFS('Orders &amp; Payments'!$N$3:$N$200,'Orders &amp; Payments'!$C$3:$C$200,$B50,'Orders &amp; Payments'!$G$3:$G$200,"Invoice")+SUMIFS('Orders &amp; Payments'!$N$3:$N$200,'Orders &amp; Payments'!$C$3:$C$200,$B50,'Orders &amp; Payments'!$G$3:$G$200,"Delivery-Invoice")</f>
      </c>
      <c r="K50">
        <f>SUMIFS('Orders &amp; Payments'!$O$3:$O$200,'Orders &amp; Payments'!$C$3:$C$200,$B50)</f>
      </c>
      <c r="L50">
        <f>SUMIFS('Orders &amp; Payments'!$P$3:$P$200,'Orders &amp; Payments'!$C$3:$C$200,$B50,'Orders &amp; Payments'!$G$3:$G$200,"Invoice")+SUMIFS('Orders &amp; Payments'!$P$3:$P$200,'Orders &amp; Payments'!$C$3:$C$200,$B50,'Orders &amp; Payments'!$G$3:$G$200,"Delivery-Invoice")</f>
      </c>
      <c r="M50" t="s">
        <v>1023</v>
      </c>
    </row>
    <row r="51">
      <c r="A51" t="s">
        <v>1061</v>
      </c>
      <c r="B51" t="s">
        <v>1041</v>
      </c>
      <c r="D51" t="s">
        <v>1042</v>
      </c>
      <c r="F51" t="s">
        <v>506</v>
      </c>
      <c r="G51">
        <v>46087</v>
      </c>
      <c r="H51">
        <f>COUNTIF('Orders &amp; Payments'!$C$3:$C$200,$B51)</f>
        <v>0</v>
      </c>
      <c r="I51">
        <f>SUMIFS('Orders &amp; Payments'!$N$3:$N$200,'Orders &amp; Payments'!$C$3:$C$200,$B51,'Orders &amp; Payments'!$G$3:$G$200,"Quotation")</f>
        <v>0</v>
      </c>
      <c r="J51">
        <f>SUMIFS('Orders &amp; Payments'!$N$3:$N$200,'Orders &amp; Payments'!$C$3:$C$200,$B51,'Orders &amp; Payments'!$G$3:$G$200,"Invoice")+SUMIFS('Orders &amp; Payments'!$N$3:$N$200,'Orders &amp; Payments'!$C$3:$C$200,$B51,'Orders &amp; Payments'!$G$3:$G$200,"Delivery-Invoice")</f>
        <v>0</v>
      </c>
      <c r="K51">
        <f>SUMIFS('Orders &amp; Payments'!$O$3:$O$200,'Orders &amp; Payments'!$C$3:$C$200,$B51)</f>
        <v>0</v>
      </c>
      <c r="L51">
        <f>SUMIFS('Orders &amp; Payments'!$P$3:$P$200,'Orders &amp; Payments'!$C$3:$C$200,$B51,'Orders &amp; Payments'!$G$3:$G$200,"Invoice")+SUMIFS('Orders &amp; Payments'!$P$3:$P$200,'Orders &amp; Payments'!$C$3:$C$200,$B51,'Orders &amp; Payments'!$G$3:$G$200,"Delivery-Invoice")</f>
        <v>0</v>
      </c>
    </row>
    <row r="52">
      <c r="A52" t="s">
        <v>1062</v>
      </c>
      <c r="B52" t="s">
        <v>1049</v>
      </c>
      <c r="D52" t="s">
        <v>1050</v>
      </c>
      <c r="F52" t="s">
        <v>464</v>
      </c>
      <c r="G52">
        <v>45901</v>
      </c>
      <c r="H52">
        <f>COUNTIF('Orders &amp; Payments'!$C$3:$C$200,$B52)</f>
        <v>0</v>
      </c>
      <c r="I52">
        <f>SUMIFS('Orders &amp; Payments'!$N$3:$N$200,'Orders &amp; Payments'!$C$3:$C$200,$B52,'Orders &amp; Payments'!$G$3:$G$200,"Quotation")</f>
        <v>0</v>
      </c>
      <c r="J52">
        <f>SUMIFS('Orders &amp; Payments'!$N$3:$N$200,'Orders &amp; Payments'!$C$3:$C$200,$B52,'Orders &amp; Payments'!$G$3:$G$200,"Invoice")+SUMIFS('Orders &amp; Payments'!$N$3:$N$200,'Orders &amp; Payments'!$C$3:$C$200,$B52,'Orders &amp; Payments'!$G$3:$G$200,"Delivery-Invoice")</f>
        <v>0</v>
      </c>
      <c r="K52">
        <f>SUMIFS('Orders &amp; Payments'!$O$3:$O$200,'Orders &amp; Payments'!$C$3:$C$200,$B52)</f>
        <v>0</v>
      </c>
      <c r="L52">
        <f>SUMIFS('Orders &amp; Payments'!$P$3:$P$200,'Orders &amp; Payments'!$C$3:$C$200,$B52,'Orders &amp; Payments'!$G$3:$G$200,"Invoice")+SUMIFS('Orders &amp; Payments'!$P$3:$P$200,'Orders &amp; Payments'!$C$3:$C$200,$B52,'Orders &amp; Payments'!$G$3:$G$200,"Delivery-Invoice")</f>
        <v>0</v>
      </c>
    </row>
    <row r="53">
      <c r="A53" t="s">
        <v>1063</v>
      </c>
      <c r="B53" t="s">
        <v>1055</v>
      </c>
      <c r="D53" t="s">
        <v>1056</v>
      </c>
      <c r="F53" t="s">
        <v>464</v>
      </c>
      <c r="G53">
        <v>46090</v>
      </c>
      <c r="H53">
        <f>COUNTIF('Orders &amp; Payments'!$C$3:$C$200,$B53)</f>
        <v>0</v>
      </c>
      <c r="I53">
        <f>SUMIFS('Orders &amp; Payments'!$N$3:$N$200,'Orders &amp; Payments'!$C$3:$C$200,$B53,'Orders &amp; Payments'!$G$3:$G$200,"Quotation")</f>
        <v>0</v>
      </c>
      <c r="J53">
        <f>SUMIFS('Orders &amp; Payments'!$N$3:$N$200,'Orders &amp; Payments'!$C$3:$C$200,$B53,'Orders &amp; Payments'!$G$3:$G$200,"Invoice")+SUMIFS('Orders &amp; Payments'!$N$3:$N$200,'Orders &amp; Payments'!$C$3:$C$200,$B53,'Orders &amp; Payments'!$G$3:$G$200,"Delivery-Invoice")</f>
        <v>0</v>
      </c>
      <c r="K53">
        <f>SUMIFS('Orders &amp; Payments'!$O$3:$O$200,'Orders &amp; Payments'!$C$3:$C$200,$B53)</f>
        <v>0</v>
      </c>
      <c r="L53">
        <f>SUMIFS('Orders &amp; Payments'!$P$3:$P$200,'Orders &amp; Payments'!$C$3:$C$200,$B53,'Orders &amp; Payments'!$G$3:$G$200,"Invoice")+SUMIFS('Orders &amp; Payments'!$P$3:$P$200,'Orders &amp; Payments'!$C$3:$C$200,$B53,'Orders &amp; Payments'!$G$3:$G$200,"Delivery-Invoice")</f>
        <v>0</v>
      </c>
    </row>
    <row r="55" customFormat="false" ht="15" hidden="false" customHeight="false" outlineLevel="0" collapsed="false">
      <c r="H55" s="51" t="s">
        <v>446</v>
      </c>
      <c r="I55" s="52" t="n">
        <f aca="false">SUM(I3:I54)</f>
        <v>286888.31</v>
      </c>
      <c r="J55" s="52" t="n">
        <f aca="false">SUM(J3:J54)</f>
        <v>139259.89</v>
      </c>
      <c r="K55" s="52" t="n">
        <f aca="false">SUM(K3:K54)</f>
        <v>12372.58</v>
      </c>
      <c r="L55" s="52" t="n">
        <f aca="false">SUM(L3:L54)</f>
        <v>126887.31</v>
      </c>
    </row>
  </sheetData>
  <autoFilter ref="A2:M50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ns1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2E5AAC"/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34"/>
    <col collapsed="false" customWidth="true" hidden="false" outlineLevel="0" max="7" min="7" style="1" width="24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0" min="10" style="1" width="13"/>
    <col collapsed="false" customWidth="true" hidden="false" outlineLevel="0" max="12" min="11" style="1" width="12"/>
    <col collapsed="false" customWidth="true" hidden="false" outlineLevel="0" max="14" min="13" style="1" width="13"/>
    <col collapsed="false" customWidth="true" hidden="false" outlineLevel="0" max="15" min="15" style="1" width="30"/>
    <col collapsed="false" customWidth="true" hidden="false" outlineLevel="0" max="17" min="17" style="1" width="15"/>
    <col collapsed="false" customWidth="true" hidden="false" outlineLevel="0" max="18" min="18" style="1" width="8"/>
  </cols>
  <sheetData>
    <row r="1" customFormat="false" ht="30" hidden="false" customHeight="true" outlineLevel="0" collapsed="false">
      <c r="A1" s="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0" hidden="false" customHeight="true" outlineLevel="0" collapsed="false">
      <c r="A2" s="16" t="s">
        <v>594</v>
      </c>
      <c r="B2" s="16" t="s">
        <v>595</v>
      </c>
      <c r="C2" s="16" t="s">
        <v>596</v>
      </c>
      <c r="D2" s="16" t="s">
        <v>597</v>
      </c>
      <c r="E2" s="16" t="s">
        <v>598</v>
      </c>
      <c r="F2" s="16" t="s">
        <v>599</v>
      </c>
      <c r="G2" s="16" t="s">
        <v>600</v>
      </c>
      <c r="H2" s="16" t="s">
        <v>601</v>
      </c>
      <c r="I2" s="16" t="s">
        <v>30</v>
      </c>
      <c r="J2" s="16" t="s">
        <v>602</v>
      </c>
      <c r="K2" s="16" t="s">
        <v>603</v>
      </c>
      <c r="L2" s="16" t="s">
        <v>604</v>
      </c>
      <c r="M2" s="16" t="s">
        <v>41</v>
      </c>
      <c r="N2" s="16" t="s">
        <v>605</v>
      </c>
      <c r="O2" s="16" t="s">
        <v>43</v>
      </c>
      <c r="Q2" s="53" t="s">
        <v>606</v>
      </c>
      <c r="R2" s="54" t="n">
        <v>0.3</v>
      </c>
    </row>
    <row r="3" customFormat="false" ht="23.25" hidden="false" customHeight="true" outlineLevel="0" collapsed="false">
      <c r="A3" s="17" t="s">
        <v>607</v>
      </c>
      <c r="B3" s="18" t="n">
        <v>45868</v>
      </c>
      <c r="C3" s="19" t="s">
        <v>54</v>
      </c>
      <c r="D3" s="43"/>
      <c r="E3" s="19" t="s">
        <v>55</v>
      </c>
      <c r="F3" s="20" t="s">
        <v>608</v>
      </c>
      <c r="G3" s="19" t="s">
        <v>609</v>
      </c>
      <c r="H3" s="25"/>
      <c r="I3" s="17" t="n">
        <v>229</v>
      </c>
      <c r="J3" s="21" t="n">
        <v>1910.42</v>
      </c>
      <c r="K3" s="21" t="n">
        <f aca="false">ROUND(J3*$R$2,2)</f>
        <v>573.13</v>
      </c>
      <c r="L3" s="17" t="s">
        <v>49</v>
      </c>
      <c r="M3" s="24"/>
      <c r="N3" s="25"/>
      <c r="O3" s="20" t="s">
        <v>610</v>
      </c>
    </row>
    <row r="4" customFormat="false" ht="23.25" hidden="false" customHeight="true" outlineLevel="0" collapsed="false">
      <c r="A4" s="17" t="s">
        <v>611</v>
      </c>
      <c r="B4" s="18" t="n">
        <v>45917</v>
      </c>
      <c r="C4" s="19" t="s">
        <v>68</v>
      </c>
      <c r="D4" s="43"/>
      <c r="E4" s="19" t="s">
        <v>69</v>
      </c>
      <c r="F4" s="20" t="s">
        <v>612</v>
      </c>
      <c r="G4" s="19" t="s">
        <v>609</v>
      </c>
      <c r="H4" s="25"/>
      <c r="I4" s="17" t="n">
        <v>239</v>
      </c>
      <c r="J4" s="21" t="n">
        <v>4448.6</v>
      </c>
      <c r="K4" s="21" t="n">
        <f aca="false">ROUND(J4*$R$2,2)</f>
        <v>1334.58</v>
      </c>
      <c r="L4" s="17" t="s">
        <v>49</v>
      </c>
      <c r="M4" s="24"/>
      <c r="N4" s="25"/>
      <c r="O4" s="20" t="s">
        <v>613</v>
      </c>
    </row>
    <row r="5" customFormat="false" ht="15" hidden="false" customHeight="true" outlineLevel="0" collapsed="false">
      <c r="A5" s="17" t="s">
        <v>614</v>
      </c>
      <c r="B5" s="18" t="n">
        <v>45931</v>
      </c>
      <c r="C5" s="19" t="s">
        <v>104</v>
      </c>
      <c r="D5" s="43"/>
      <c r="E5" s="19" t="s">
        <v>105</v>
      </c>
      <c r="F5" s="20" t="s">
        <v>615</v>
      </c>
      <c r="G5" s="19" t="s">
        <v>609</v>
      </c>
      <c r="H5" s="25"/>
      <c r="I5" s="17" t="n">
        <v>243</v>
      </c>
      <c r="J5" s="21" t="n">
        <v>5109.4</v>
      </c>
      <c r="K5" s="21" t="n">
        <f aca="false">ROUND(J5*$R$2,2)</f>
        <v>1532.82</v>
      </c>
      <c r="L5" s="17" t="s">
        <v>49</v>
      </c>
      <c r="M5" s="24"/>
      <c r="N5" s="25"/>
      <c r="O5" s="20" t="s">
        <v>616</v>
      </c>
    </row>
    <row r="6" customFormat="false" ht="15" hidden="false" customHeight="true" outlineLevel="0" collapsed="false">
      <c r="A6" s="17" t="s">
        <v>617</v>
      </c>
      <c r="B6" s="18" t="n">
        <v>45959</v>
      </c>
      <c r="C6" s="19" t="s">
        <v>110</v>
      </c>
      <c r="D6" s="43"/>
      <c r="E6" s="19" t="s">
        <v>115</v>
      </c>
      <c r="F6" s="20" t="s">
        <v>618</v>
      </c>
      <c r="G6" s="19" t="s">
        <v>609</v>
      </c>
      <c r="H6" s="25"/>
      <c r="I6" s="17" t="n">
        <v>259</v>
      </c>
      <c r="J6" s="21" t="n">
        <v>566.4</v>
      </c>
      <c r="K6" s="21" t="n">
        <f aca="false">ROUND(J6*$R$2,2)</f>
        <v>169.92</v>
      </c>
      <c r="L6" s="17" t="s">
        <v>49</v>
      </c>
      <c r="M6" s="24"/>
      <c r="N6" s="25"/>
      <c r="O6" s="20" t="s">
        <v>619</v>
      </c>
    </row>
    <row r="7" customFormat="false" ht="15" hidden="false" customHeight="true" outlineLevel="0" collapsed="false">
      <c r="A7" s="17" t="s">
        <v>620</v>
      </c>
      <c r="B7" s="18" t="n">
        <v>45959</v>
      </c>
      <c r="C7" s="19" t="s">
        <v>120</v>
      </c>
      <c r="D7" s="43"/>
      <c r="E7" s="19" t="s">
        <v>121</v>
      </c>
      <c r="F7" s="20" t="s">
        <v>621</v>
      </c>
      <c r="G7" s="19" t="s">
        <v>609</v>
      </c>
      <c r="H7" s="25"/>
      <c r="I7" s="17" t="n">
        <v>258</v>
      </c>
      <c r="J7" s="21" t="n">
        <v>2737.6</v>
      </c>
      <c r="K7" s="21" t="n">
        <f aca="false">ROUND(J7*$R$2,2)</f>
        <v>821.28</v>
      </c>
      <c r="L7" s="17" t="s">
        <v>49</v>
      </c>
      <c r="M7" s="24"/>
      <c r="N7" s="25"/>
      <c r="O7" s="20" t="s">
        <v>622</v>
      </c>
    </row>
    <row r="8" customFormat="false" ht="15" hidden="false" customHeight="true" outlineLevel="0" collapsed="false">
      <c r="A8" s="17" t="s">
        <v>623</v>
      </c>
      <c r="B8" s="18" t="n">
        <v>45625</v>
      </c>
      <c r="C8" s="19" t="s">
        <v>45</v>
      </c>
      <c r="D8" s="43"/>
      <c r="E8" s="19" t="s">
        <v>46</v>
      </c>
      <c r="F8" s="20" t="s">
        <v>624</v>
      </c>
      <c r="G8" s="19" t="s">
        <v>609</v>
      </c>
      <c r="H8" s="25"/>
      <c r="I8" s="17" t="n">
        <v>175</v>
      </c>
      <c r="J8" s="21" t="n">
        <v>7791.92</v>
      </c>
      <c r="K8" s="21" t="n">
        <f aca="false">ROUND(J8*$R$2,2)</f>
        <v>2337.58</v>
      </c>
      <c r="L8" s="17" t="s">
        <v>49</v>
      </c>
      <c r="M8" s="24"/>
      <c r="N8" s="25"/>
      <c r="O8" s="20" t="s">
        <v>625</v>
      </c>
    </row>
    <row r="9" customFormat="false" ht="23.25" hidden="false" customHeight="true" outlineLevel="0" collapsed="false">
      <c r="A9" s="17" t="s">
        <v>626</v>
      </c>
      <c r="B9" s="18" t="n">
        <v>45976</v>
      </c>
      <c r="C9" s="19" t="s">
        <v>168</v>
      </c>
      <c r="D9" s="43"/>
      <c r="E9" s="19" t="s">
        <v>69</v>
      </c>
      <c r="F9" s="20" t="s">
        <v>627</v>
      </c>
      <c r="G9" s="19" t="s">
        <v>609</v>
      </c>
      <c r="H9" s="25"/>
      <c r="I9" s="17" t="n">
        <v>264</v>
      </c>
      <c r="J9" s="21" t="n">
        <v>4012</v>
      </c>
      <c r="K9" s="21" t="n">
        <f aca="false">ROUND(J9*$R$2,2)</f>
        <v>1203.6</v>
      </c>
      <c r="L9" s="17" t="s">
        <v>49</v>
      </c>
      <c r="M9" s="24"/>
      <c r="N9" s="25"/>
      <c r="O9" s="20" t="s">
        <v>628</v>
      </c>
    </row>
    <row r="10" customFormat="false" ht="23.25" hidden="false" customHeight="true" outlineLevel="0" collapsed="false">
      <c r="A10" s="17" t="s">
        <v>629</v>
      </c>
      <c r="B10" s="18" t="n">
        <v>45976</v>
      </c>
      <c r="C10" s="19" t="s">
        <v>168</v>
      </c>
      <c r="D10" s="43"/>
      <c r="E10" s="19" t="s">
        <v>69</v>
      </c>
      <c r="F10" s="20" t="s">
        <v>630</v>
      </c>
      <c r="G10" s="19" t="s">
        <v>609</v>
      </c>
      <c r="H10" s="25"/>
      <c r="I10" s="17" t="n">
        <v>265</v>
      </c>
      <c r="J10" s="21" t="n">
        <v>3569.5</v>
      </c>
      <c r="K10" s="21" t="n">
        <f aca="false">ROUND(J10*$R$2,2)</f>
        <v>1070.85</v>
      </c>
      <c r="L10" s="17" t="s">
        <v>49</v>
      </c>
      <c r="M10" s="24"/>
      <c r="N10" s="25"/>
      <c r="O10" s="20" t="s">
        <v>631</v>
      </c>
    </row>
    <row r="11" customFormat="false" ht="23.25" hidden="false" customHeight="true" outlineLevel="0" collapsed="false">
      <c r="A11" s="17" t="s">
        <v>632</v>
      </c>
      <c r="B11" s="18" t="n">
        <v>45992</v>
      </c>
      <c r="C11" s="19" t="s">
        <v>104</v>
      </c>
      <c r="D11" s="43"/>
      <c r="E11" s="19" t="s">
        <v>196</v>
      </c>
      <c r="F11" s="20" t="s">
        <v>633</v>
      </c>
      <c r="G11" s="19" t="s">
        <v>609</v>
      </c>
      <c r="H11" s="25"/>
      <c r="I11" s="17" t="n">
        <v>267</v>
      </c>
      <c r="J11" s="21" t="n">
        <v>4460.4</v>
      </c>
      <c r="K11" s="21" t="n">
        <f aca="false">ROUND(J11*$R$2,2)</f>
        <v>1338.12</v>
      </c>
      <c r="L11" s="17" t="s">
        <v>49</v>
      </c>
      <c r="M11" s="24"/>
      <c r="N11" s="25"/>
      <c r="O11" s="20" t="s">
        <v>634</v>
      </c>
    </row>
    <row r="12" customFormat="false" ht="23.25" hidden="false" customHeight="true" outlineLevel="0" collapsed="false">
      <c r="A12" s="17" t="s">
        <v>635</v>
      </c>
      <c r="B12" s="18" t="n">
        <v>45996</v>
      </c>
      <c r="C12" s="19" t="s">
        <v>60</v>
      </c>
      <c r="D12" s="43"/>
      <c r="E12" s="19" t="s">
        <v>206</v>
      </c>
      <c r="F12" s="20" t="s">
        <v>636</v>
      </c>
      <c r="G12" s="19" t="s">
        <v>637</v>
      </c>
      <c r="H12" s="25"/>
      <c r="I12" s="17" t="n">
        <v>272</v>
      </c>
      <c r="J12" s="21" t="n">
        <v>10612.92</v>
      </c>
      <c r="K12" s="21" t="n">
        <f aca="false">ROUND(J12*$R$2,2)</f>
        <v>3183.88</v>
      </c>
      <c r="L12" s="17" t="s">
        <v>64</v>
      </c>
      <c r="M12" s="24"/>
      <c r="N12" s="25"/>
      <c r="O12" s="20" t="s">
        <v>638</v>
      </c>
    </row>
    <row r="13" customFormat="false" ht="23.25" hidden="false" customHeight="true" outlineLevel="0" collapsed="false">
      <c r="A13" s="17" t="s">
        <v>639</v>
      </c>
      <c r="B13" s="18" t="n">
        <v>45996</v>
      </c>
      <c r="C13" s="19" t="s">
        <v>212</v>
      </c>
      <c r="D13" s="43"/>
      <c r="E13" s="19" t="s">
        <v>69</v>
      </c>
      <c r="F13" s="20" t="s">
        <v>640</v>
      </c>
      <c r="G13" s="19" t="s">
        <v>609</v>
      </c>
      <c r="H13" s="25"/>
      <c r="I13" s="17" t="n">
        <v>271</v>
      </c>
      <c r="J13" s="21" t="n">
        <v>8184.24</v>
      </c>
      <c r="K13" s="21" t="n">
        <f aca="false">ROUND(J13*$R$2,2)</f>
        <v>2455.27</v>
      </c>
      <c r="L13" s="17" t="s">
        <v>49</v>
      </c>
      <c r="M13" s="24"/>
      <c r="N13" s="25"/>
      <c r="O13" s="20" t="s">
        <v>641</v>
      </c>
    </row>
    <row r="14" customFormat="false" ht="34.5" hidden="false" customHeight="true" outlineLevel="0" collapsed="false">
      <c r="A14" s="17" t="s">
        <v>642</v>
      </c>
      <c r="B14" s="18" t="n">
        <v>45996</v>
      </c>
      <c r="C14" s="19" t="s">
        <v>60</v>
      </c>
      <c r="D14" s="43"/>
      <c r="E14" s="19" t="s">
        <v>111</v>
      </c>
      <c r="F14" s="20" t="s">
        <v>643</v>
      </c>
      <c r="G14" s="19" t="s">
        <v>637</v>
      </c>
      <c r="H14" s="25"/>
      <c r="I14" s="17" t="n">
        <v>273</v>
      </c>
      <c r="J14" s="21" t="n">
        <v>10105.99</v>
      </c>
      <c r="K14" s="21" t="n">
        <f aca="false">ROUND(J14*$R$2,2)</f>
        <v>3031.8</v>
      </c>
      <c r="L14" s="17" t="s">
        <v>64</v>
      </c>
      <c r="M14" s="24"/>
      <c r="N14" s="25"/>
      <c r="O14" s="20" t="s">
        <v>644</v>
      </c>
    </row>
    <row r="15" customFormat="false" ht="23.25" hidden="false" customHeight="true" outlineLevel="0" collapsed="false">
      <c r="A15" s="17" t="s">
        <v>645</v>
      </c>
      <c r="B15" s="18" t="n">
        <v>45999</v>
      </c>
      <c r="C15" s="19" t="s">
        <v>212</v>
      </c>
      <c r="D15" s="43"/>
      <c r="E15" s="19" t="s">
        <v>646</v>
      </c>
      <c r="F15" s="20" t="s">
        <v>647</v>
      </c>
      <c r="G15" s="19" t="s">
        <v>609</v>
      </c>
      <c r="H15" s="25"/>
      <c r="I15" s="17" t="n">
        <v>274</v>
      </c>
      <c r="J15" s="21" t="n">
        <v>1283.84</v>
      </c>
      <c r="K15" s="21" t="n">
        <f aca="false">ROUND(J15*$R$2,2)</f>
        <v>385.15</v>
      </c>
      <c r="L15" s="17" t="s">
        <v>49</v>
      </c>
      <c r="M15" s="24"/>
      <c r="N15" s="25"/>
      <c r="O15" s="20" t="s">
        <v>641</v>
      </c>
    </row>
    <row r="16" customFormat="false" ht="23.25" hidden="false" customHeight="true" outlineLevel="0" collapsed="false">
      <c r="A16" s="17" t="s">
        <v>648</v>
      </c>
      <c r="B16" s="18" t="n">
        <v>46006</v>
      </c>
      <c r="C16" s="19" t="s">
        <v>212</v>
      </c>
      <c r="D16" s="43"/>
      <c r="E16" s="19" t="s">
        <v>69</v>
      </c>
      <c r="F16" s="20" t="s">
        <v>649</v>
      </c>
      <c r="G16" s="19" t="s">
        <v>609</v>
      </c>
      <c r="H16" s="25"/>
      <c r="I16" s="17" t="n">
        <v>277</v>
      </c>
      <c r="J16" s="21" t="n">
        <v>13856.28</v>
      </c>
      <c r="K16" s="21" t="n">
        <f aca="false">ROUND(J16*$R$2,2)</f>
        <v>4156.88</v>
      </c>
      <c r="L16" s="17" t="s">
        <v>49</v>
      </c>
      <c r="M16" s="24"/>
      <c r="N16" s="25"/>
      <c r="O16" s="20" t="s">
        <v>650</v>
      </c>
    </row>
    <row r="17" customFormat="false" ht="23.25" hidden="false" customHeight="true" outlineLevel="0" collapsed="false">
      <c r="A17" s="17" t="s">
        <v>651</v>
      </c>
      <c r="B17" s="18" t="n">
        <v>46042</v>
      </c>
      <c r="C17" s="19" t="s">
        <v>86</v>
      </c>
      <c r="D17" s="43"/>
      <c r="E17" s="19" t="s">
        <v>87</v>
      </c>
      <c r="F17" s="20" t="s">
        <v>652</v>
      </c>
      <c r="G17" s="19" t="s">
        <v>609</v>
      </c>
      <c r="H17" s="25"/>
      <c r="I17" s="17" t="n">
        <v>279</v>
      </c>
      <c r="J17" s="21" t="n">
        <v>33367.57</v>
      </c>
      <c r="K17" s="21" t="n">
        <f aca="false">ROUND(J17*$R$2,2)</f>
        <v>10010.27</v>
      </c>
      <c r="L17" s="17" t="s">
        <v>49</v>
      </c>
      <c r="M17" s="24"/>
      <c r="N17" s="25"/>
      <c r="O17" s="20" t="s">
        <v>653</v>
      </c>
    </row>
    <row r="18" customFormat="false" ht="34.5" hidden="false" customHeight="true" outlineLevel="0" collapsed="false">
      <c r="A18" s="17" t="s">
        <v>654</v>
      </c>
      <c r="B18" s="18" t="n">
        <v>46045</v>
      </c>
      <c r="C18" s="19" t="s">
        <v>110</v>
      </c>
      <c r="D18" s="43"/>
      <c r="E18" s="19" t="s">
        <v>322</v>
      </c>
      <c r="F18" s="20" t="s">
        <v>655</v>
      </c>
      <c r="G18" s="19" t="s">
        <v>609</v>
      </c>
      <c r="H18" s="25"/>
      <c r="I18" s="17" t="n">
        <v>282</v>
      </c>
      <c r="J18" s="21" t="n">
        <v>18833.04</v>
      </c>
      <c r="K18" s="21" t="n">
        <f aca="false">ROUND(J18*$R$2,2)</f>
        <v>5649.91</v>
      </c>
      <c r="L18" s="17" t="s">
        <v>49</v>
      </c>
      <c r="M18" s="24"/>
      <c r="N18" s="25"/>
      <c r="O18" s="20" t="s">
        <v>656</v>
      </c>
    </row>
    <row r="19" customFormat="false" ht="34.5" hidden="false" customHeight="true" outlineLevel="0" collapsed="false">
      <c r="A19" s="17" t="s">
        <v>657</v>
      </c>
      <c r="B19" s="18" t="n">
        <v>46049</v>
      </c>
      <c r="C19" s="19" t="s">
        <v>110</v>
      </c>
      <c r="D19" s="43"/>
      <c r="E19" s="19" t="s">
        <v>322</v>
      </c>
      <c r="F19" s="20" t="s">
        <v>658</v>
      </c>
      <c r="G19" s="19" t="s">
        <v>609</v>
      </c>
      <c r="H19" s="25"/>
      <c r="I19" s="17" t="n">
        <v>284</v>
      </c>
      <c r="J19" s="21" t="n">
        <v>23081.98</v>
      </c>
      <c r="K19" s="21" t="n">
        <f aca="false">ROUND(J19*$R$2,2)</f>
        <v>6924.59</v>
      </c>
      <c r="L19" s="17" t="s">
        <v>49</v>
      </c>
      <c r="M19" s="24"/>
      <c r="N19" s="25"/>
      <c r="O19" s="20" t="s">
        <v>659</v>
      </c>
    </row>
    <row r="20" customFormat="false" ht="23.25" hidden="false" customHeight="true" outlineLevel="0" collapsed="false">
      <c r="A20" s="17" t="s">
        <v>660</v>
      </c>
      <c r="B20" s="18" t="n">
        <v>46049</v>
      </c>
      <c r="C20" s="19" t="s">
        <v>110</v>
      </c>
      <c r="D20" s="43"/>
      <c r="E20" s="19" t="s">
        <v>322</v>
      </c>
      <c r="F20" s="20" t="s">
        <v>661</v>
      </c>
      <c r="G20" s="19" t="s">
        <v>609</v>
      </c>
      <c r="H20" s="25"/>
      <c r="I20" s="17" t="n">
        <v>285</v>
      </c>
      <c r="J20" s="21" t="n">
        <v>11307.46</v>
      </c>
      <c r="K20" s="21" t="n">
        <f aca="false">ROUND(J20*$R$2,2)</f>
        <v>3392.24</v>
      </c>
      <c r="L20" s="17" t="s">
        <v>49</v>
      </c>
      <c r="M20" s="24"/>
      <c r="N20" s="25"/>
      <c r="O20" s="20" t="s">
        <v>662</v>
      </c>
    </row>
    <row r="21" customFormat="false" ht="34.5" hidden="false" customHeight="true" outlineLevel="0" collapsed="false">
      <c r="A21" s="17" t="s">
        <v>663</v>
      </c>
      <c r="B21" s="18" t="n">
        <v>46053</v>
      </c>
      <c r="C21" s="19" t="s">
        <v>333</v>
      </c>
      <c r="D21" s="43"/>
      <c r="E21" s="19" t="s">
        <v>559</v>
      </c>
      <c r="F21" s="20" t="s">
        <v>664</v>
      </c>
      <c r="G21" s="19" t="s">
        <v>609</v>
      </c>
      <c r="H21" s="25"/>
      <c r="I21" s="17" t="n">
        <v>286</v>
      </c>
      <c r="J21" s="21" t="n">
        <v>5055.12</v>
      </c>
      <c r="K21" s="21" t="n">
        <f aca="false">ROUND(J21*$R$2,2)</f>
        <v>1516.54</v>
      </c>
      <c r="L21" s="17" t="s">
        <v>49</v>
      </c>
      <c r="M21" s="24"/>
      <c r="N21" s="25"/>
      <c r="O21" s="20" t="s">
        <v>665</v>
      </c>
    </row>
    <row r="22" customFormat="false" ht="34.5" hidden="false" customHeight="true" outlineLevel="0" collapsed="false">
      <c r="A22" s="17" t="s">
        <v>666</v>
      </c>
      <c r="B22" s="18" t="n">
        <v>46053</v>
      </c>
      <c r="C22" s="19" t="s">
        <v>333</v>
      </c>
      <c r="D22" s="43"/>
      <c r="E22" s="19" t="s">
        <v>559</v>
      </c>
      <c r="F22" s="20" t="s">
        <v>667</v>
      </c>
      <c r="G22" s="19" t="s">
        <v>609</v>
      </c>
      <c r="H22" s="25"/>
      <c r="I22" s="17" t="n">
        <v>287</v>
      </c>
      <c r="J22" s="21" t="n">
        <v>5897.64</v>
      </c>
      <c r="K22" s="21" t="n">
        <f aca="false">ROUND(J22*$R$2,2)</f>
        <v>1769.29</v>
      </c>
      <c r="L22" s="17" t="s">
        <v>49</v>
      </c>
      <c r="M22" s="24"/>
      <c r="N22" s="25"/>
      <c r="O22" s="20" t="s">
        <v>668</v>
      </c>
    </row>
    <row r="23" customFormat="false" ht="23.25" hidden="false" customHeight="true" outlineLevel="0" collapsed="false">
      <c r="A23" s="17" t="s">
        <v>669</v>
      </c>
      <c r="B23" s="18" t="n">
        <v>46053</v>
      </c>
      <c r="C23" s="19" t="s">
        <v>333</v>
      </c>
      <c r="D23" s="43"/>
      <c r="E23" s="19" t="s">
        <v>559</v>
      </c>
      <c r="F23" s="20" t="s">
        <v>670</v>
      </c>
      <c r="G23" s="19" t="s">
        <v>609</v>
      </c>
      <c r="H23" s="25"/>
      <c r="I23" s="17" t="n">
        <v>288</v>
      </c>
      <c r="J23" s="21" t="n">
        <v>3964.8</v>
      </c>
      <c r="K23" s="21" t="n">
        <f aca="false">ROUND(J23*$R$2,2)</f>
        <v>1189.44</v>
      </c>
      <c r="L23" s="17" t="s">
        <v>49</v>
      </c>
      <c r="M23" s="24"/>
      <c r="N23" s="25"/>
      <c r="O23" s="20" t="s">
        <v>671</v>
      </c>
    </row>
    <row r="24" customFormat="false" ht="34.5" hidden="false" customHeight="true" outlineLevel="0" collapsed="false">
      <c r="A24" s="17" t="s">
        <v>672</v>
      </c>
      <c r="B24" s="18" t="n">
        <v>46055</v>
      </c>
      <c r="C24" s="19" t="s">
        <v>344</v>
      </c>
      <c r="D24" s="43"/>
      <c r="E24" s="19" t="s">
        <v>345</v>
      </c>
      <c r="F24" s="20" t="s">
        <v>673</v>
      </c>
      <c r="G24" s="19" t="s">
        <v>609</v>
      </c>
      <c r="H24" s="25"/>
      <c r="I24" s="17" t="n">
        <v>290</v>
      </c>
      <c r="J24" s="21" t="n">
        <v>31875.05</v>
      </c>
      <c r="K24" s="21" t="n">
        <f aca="false">ROUND(J24*$R$2,2)</f>
        <v>9562.52</v>
      </c>
      <c r="L24" s="17" t="s">
        <v>49</v>
      </c>
      <c r="M24" s="24"/>
      <c r="N24" s="25"/>
      <c r="O24" s="20" t="s">
        <v>674</v>
      </c>
    </row>
    <row r="25" customFormat="false" ht="34.5" hidden="false" customHeight="true" outlineLevel="0" collapsed="false">
      <c r="A25" s="17" t="s">
        <v>675</v>
      </c>
      <c r="B25" s="18" t="n">
        <v>46055</v>
      </c>
      <c r="C25" s="19" t="s">
        <v>344</v>
      </c>
      <c r="D25" s="43"/>
      <c r="E25" s="19" t="s">
        <v>345</v>
      </c>
      <c r="F25" s="20" t="s">
        <v>350</v>
      </c>
      <c r="G25" s="19" t="s">
        <v>609</v>
      </c>
      <c r="H25" s="25"/>
      <c r="I25" s="17" t="n">
        <v>291</v>
      </c>
      <c r="J25" s="21" t="n">
        <v>11620.99</v>
      </c>
      <c r="K25" s="21" t="n">
        <f aca="false">ROUND(J25*$R$2,2)</f>
        <v>3486.3</v>
      </c>
      <c r="L25" s="17" t="s">
        <v>49</v>
      </c>
      <c r="M25" s="24"/>
      <c r="N25" s="25"/>
      <c r="O25" s="20" t="s">
        <v>676</v>
      </c>
    </row>
    <row r="26" customFormat="false" ht="34.5" hidden="false" customHeight="true" outlineLevel="0" collapsed="false">
      <c r="A26" s="17" t="s">
        <v>677</v>
      </c>
      <c r="B26" s="18" t="n">
        <v>46056</v>
      </c>
      <c r="C26" s="19" t="s">
        <v>139</v>
      </c>
      <c r="D26" s="43"/>
      <c r="E26" s="19" t="s">
        <v>140</v>
      </c>
      <c r="F26" s="20" t="s">
        <v>678</v>
      </c>
      <c r="G26" s="19" t="s">
        <v>609</v>
      </c>
      <c r="H26" s="25"/>
      <c r="I26" s="17" t="n">
        <v>294</v>
      </c>
      <c r="J26" s="21" t="n">
        <v>2725.8</v>
      </c>
      <c r="K26" s="21" t="n">
        <f aca="false">ROUND(J26*$R$2,2)</f>
        <v>817.74</v>
      </c>
      <c r="L26" s="17" t="s">
        <v>49</v>
      </c>
      <c r="M26" s="24"/>
      <c r="N26" s="25"/>
      <c r="O26" s="20" t="s">
        <v>679</v>
      </c>
    </row>
    <row r="27" customFormat="false" ht="23.25" hidden="false" customHeight="true" outlineLevel="0" collapsed="false">
      <c r="A27" s="17" t="s">
        <v>680</v>
      </c>
      <c r="B27" s="18" t="n">
        <v>46056</v>
      </c>
      <c r="C27" s="19" t="s">
        <v>139</v>
      </c>
      <c r="D27" s="43"/>
      <c r="E27" s="19" t="s">
        <v>140</v>
      </c>
      <c r="F27" s="20" t="s">
        <v>681</v>
      </c>
      <c r="G27" s="19" t="s">
        <v>609</v>
      </c>
      <c r="H27" s="25"/>
      <c r="I27" s="17" t="n">
        <v>295</v>
      </c>
      <c r="J27" s="21" t="n">
        <v>2312.8</v>
      </c>
      <c r="K27" s="21" t="n">
        <f aca="false">ROUND(J27*$R$2,2)</f>
        <v>693.84</v>
      </c>
      <c r="L27" s="17" t="s">
        <v>49</v>
      </c>
      <c r="M27" s="24"/>
      <c r="N27" s="25"/>
      <c r="O27" s="20" t="s">
        <v>682</v>
      </c>
    </row>
    <row r="28" customFormat="false" ht="45.75" hidden="false" customHeight="true" outlineLevel="0" collapsed="false">
      <c r="A28" s="17" t="s">
        <v>683</v>
      </c>
      <c r="B28" s="18" t="n">
        <v>46056</v>
      </c>
      <c r="C28" s="19" t="s">
        <v>139</v>
      </c>
      <c r="D28" s="43"/>
      <c r="E28" s="19" t="s">
        <v>140</v>
      </c>
      <c r="F28" s="20" t="s">
        <v>684</v>
      </c>
      <c r="G28" s="19" t="s">
        <v>609</v>
      </c>
      <c r="H28" s="25"/>
      <c r="I28" s="17" t="n">
        <v>294</v>
      </c>
      <c r="J28" s="21" t="n">
        <v>2560.6</v>
      </c>
      <c r="K28" s="21" t="n">
        <f aca="false">ROUND(J28*$R$2,2)</f>
        <v>768.18</v>
      </c>
      <c r="L28" s="17" t="s">
        <v>49</v>
      </c>
      <c r="M28" s="24"/>
      <c r="N28" s="25"/>
      <c r="O28" s="20" t="s">
        <v>685</v>
      </c>
    </row>
    <row r="29" customFormat="false" ht="23.25" hidden="false" customHeight="true" outlineLevel="0" collapsed="false">
      <c r="A29" s="17" t="s">
        <v>686</v>
      </c>
      <c r="B29" s="18" t="n">
        <v>46056</v>
      </c>
      <c r="C29" s="19" t="s">
        <v>212</v>
      </c>
      <c r="D29" s="43"/>
      <c r="E29" s="19" t="s">
        <v>69</v>
      </c>
      <c r="F29" s="20" t="s">
        <v>687</v>
      </c>
      <c r="G29" s="19" t="s">
        <v>609</v>
      </c>
      <c r="H29" s="25"/>
      <c r="I29" s="17" t="n">
        <v>296</v>
      </c>
      <c r="J29" s="21" t="n">
        <v>2119.28</v>
      </c>
      <c r="K29" s="21" t="n">
        <f aca="false">ROUND(J29*$R$2,2)</f>
        <v>635.78</v>
      </c>
      <c r="L29" s="17" t="s">
        <v>49</v>
      </c>
      <c r="M29" s="24"/>
      <c r="N29" s="25"/>
      <c r="O29" s="20" t="s">
        <v>688</v>
      </c>
    </row>
    <row r="30" customFormat="false" ht="15" hidden="false" customHeight="true" outlineLevel="0" collapsed="false">
      <c r="A30" s="17" t="s">
        <v>689</v>
      </c>
      <c r="B30" s="18" t="n">
        <v>46057</v>
      </c>
      <c r="C30" s="19" t="s">
        <v>375</v>
      </c>
      <c r="D30" s="43"/>
      <c r="E30" s="19" t="s">
        <v>376</v>
      </c>
      <c r="F30" s="20" t="s">
        <v>690</v>
      </c>
      <c r="G30" s="19" t="s">
        <v>609</v>
      </c>
      <c r="H30" s="25"/>
      <c r="I30" s="17" t="n">
        <v>297</v>
      </c>
      <c r="J30" s="21" t="n">
        <v>725.7</v>
      </c>
      <c r="K30" s="21" t="n">
        <f aca="false">ROUND(J30*$R$2,2)</f>
        <v>217.71</v>
      </c>
      <c r="L30" s="17" t="s">
        <v>49</v>
      </c>
      <c r="M30" s="24"/>
      <c r="N30" s="25"/>
      <c r="O30" s="20" t="s">
        <v>691</v>
      </c>
    </row>
    <row r="31" customFormat="false" ht="23.25" hidden="false" customHeight="true" outlineLevel="0" collapsed="false">
      <c r="A31" s="17" t="s">
        <v>692</v>
      </c>
      <c r="B31" s="18" t="n">
        <v>46057</v>
      </c>
      <c r="C31" s="19" t="s">
        <v>381</v>
      </c>
      <c r="D31" s="43"/>
      <c r="E31" s="19" t="s">
        <v>382</v>
      </c>
      <c r="F31" s="20" t="s">
        <v>693</v>
      </c>
      <c r="G31" s="19" t="s">
        <v>609</v>
      </c>
      <c r="H31" s="25"/>
      <c r="I31" s="17" t="n">
        <v>298</v>
      </c>
      <c r="J31" s="21" t="n">
        <v>5046.86</v>
      </c>
      <c r="K31" s="21" t="n">
        <f aca="false">ROUND(J31*$R$2,2)</f>
        <v>1514.06</v>
      </c>
      <c r="L31" s="17" t="s">
        <v>49</v>
      </c>
      <c r="M31" s="24"/>
      <c r="N31" s="25"/>
      <c r="O31" s="20" t="s">
        <v>694</v>
      </c>
    </row>
    <row r="32" customFormat="false" ht="23.25" hidden="false" customHeight="true" outlineLevel="0" collapsed="false">
      <c r="A32" s="17" t="s">
        <v>695</v>
      </c>
      <c r="B32" s="18" t="n">
        <v>46057</v>
      </c>
      <c r="C32" s="19" t="s">
        <v>212</v>
      </c>
      <c r="D32" s="43"/>
      <c r="E32" s="19" t="s">
        <v>69</v>
      </c>
      <c r="F32" s="20" t="s">
        <v>696</v>
      </c>
      <c r="G32" s="19" t="s">
        <v>609</v>
      </c>
      <c r="H32" s="25"/>
      <c r="I32" s="17" t="n">
        <v>300</v>
      </c>
      <c r="J32" s="21" t="n">
        <v>42441.06</v>
      </c>
      <c r="K32" s="21" t="n">
        <f aca="false">ROUND(J32*$R$2,2)</f>
        <v>12732.32</v>
      </c>
      <c r="L32" s="17" t="s">
        <v>49</v>
      </c>
      <c r="M32" s="24"/>
      <c r="N32" s="25"/>
      <c r="O32" s="20" t="s">
        <v>697</v>
      </c>
    </row>
    <row r="33" customFormat="false" ht="15" hidden="false" customHeight="true" outlineLevel="0" collapsed="false">
      <c r="A33" s="17" t="s">
        <v>698</v>
      </c>
      <c r="B33" s="18" t="n">
        <v>46060</v>
      </c>
      <c r="C33" s="19" t="s">
        <v>212</v>
      </c>
      <c r="D33" s="43"/>
      <c r="E33" s="19" t="s">
        <v>69</v>
      </c>
      <c r="F33" s="20" t="s">
        <v>699</v>
      </c>
      <c r="G33" s="19" t="s">
        <v>609</v>
      </c>
      <c r="H33" s="25"/>
      <c r="I33" s="17" t="n">
        <v>301</v>
      </c>
      <c r="J33" s="21" t="n">
        <v>4017.9</v>
      </c>
      <c r="K33" s="21" t="n">
        <f aca="false">IF(J33="","",ROUND(J33*$R$2,2))</f>
        <v>1205.37</v>
      </c>
      <c r="L33" s="17" t="s">
        <v>49</v>
      </c>
      <c r="M33" s="24"/>
      <c r="N33" s="25"/>
      <c r="O33" s="20" t="s">
        <v>700</v>
      </c>
    </row>
    <row r="34" customFormat="false" ht="15" hidden="false" customHeight="true" outlineLevel="0" collapsed="false">
      <c r="A34" s="17" t="s">
        <v>701</v>
      </c>
      <c r="B34" s="18" t="n">
        <v>46060</v>
      </c>
      <c r="C34" s="19" t="s">
        <v>110</v>
      </c>
      <c r="D34" s="43"/>
      <c r="E34" s="19" t="s">
        <v>206</v>
      </c>
      <c r="F34" s="20" t="s">
        <v>702</v>
      </c>
      <c r="G34" s="19" t="s">
        <v>609</v>
      </c>
      <c r="H34" s="25"/>
      <c r="I34" s="17" t="n">
        <v>302</v>
      </c>
      <c r="J34" s="21" t="n">
        <v>4285.35</v>
      </c>
      <c r="K34" s="21" t="n">
        <f aca="false">IF(J34="","",ROUND(J34*$R$2,2))</f>
        <v>1285.61</v>
      </c>
      <c r="L34" s="17" t="s">
        <v>49</v>
      </c>
      <c r="M34" s="24"/>
      <c r="N34" s="25"/>
      <c r="O34" s="20" t="s">
        <v>703</v>
      </c>
    </row>
    <row r="35" customFormat="false" ht="15" hidden="false" customHeight="true" outlineLevel="0" collapsed="false">
      <c r="A35" s="17" t="s">
        <v>704</v>
      </c>
      <c r="B35" s="18" t="n">
        <v>46060</v>
      </c>
      <c r="C35" s="19" t="s">
        <v>312</v>
      </c>
      <c r="D35" s="43"/>
      <c r="E35" s="19" t="s">
        <v>407</v>
      </c>
      <c r="F35" s="20" t="s">
        <v>705</v>
      </c>
      <c r="G35" s="19" t="s">
        <v>871</v>
      </c>
      <c r="H35" s="25"/>
      <c r="I35" s="17" t="n">
        <v>303</v>
      </c>
      <c r="J35" s="21" t="n">
        <v>687.35</v>
      </c>
      <c r="K35" s="21" t="n">
        <f aca="false">IF(J35="","",ROUND(J35*$R$2,2))</f>
        <v>206.21</v>
      </c>
      <c r="L35" s="17" t="s">
        <v>49</v>
      </c>
      <c r="M35" s="24"/>
      <c r="N35" s="25"/>
      <c r="O35" s="20" t="s">
        <v>706</v>
      </c>
    </row>
    <row r="36" customFormat="false" ht="15" hidden="false" customHeight="true" outlineLevel="0" collapsed="false">
      <c r="A36" s="17" t="s">
        <v>707</v>
      </c>
      <c r="B36" s="18" t="n">
        <v>46060</v>
      </c>
      <c r="C36" s="19" t="s">
        <v>312</v>
      </c>
      <c r="D36" s="43"/>
      <c r="E36" s="19" t="s">
        <v>407</v>
      </c>
      <c r="F36" s="20" t="s">
        <v>708</v>
      </c>
      <c r="G36" s="19" t="s">
        <v>609</v>
      </c>
      <c r="H36" s="25"/>
      <c r="I36" s="17" t="n">
        <v>304</v>
      </c>
      <c r="J36" s="21" t="n">
        <v>5422.75</v>
      </c>
      <c r="K36" s="21" t="n">
        <f aca="false">IF(J36="","",ROUND(J36*$R$2,2))</f>
        <v>1626.83</v>
      </c>
      <c r="L36" s="17" t="s">
        <v>49</v>
      </c>
      <c r="M36" s="24"/>
      <c r="N36" s="25"/>
      <c r="O36" s="20" t="s">
        <v>709</v>
      </c>
    </row>
    <row r="37" customFormat="false" ht="15" hidden="false" customHeight="true" outlineLevel="0" collapsed="false">
      <c r="A37" s="17" t="s">
        <v>710</v>
      </c>
      <c r="B37" s="18" t="n">
        <v>46055</v>
      </c>
      <c r="C37" s="19" t="s">
        <v>412</v>
      </c>
      <c r="D37" s="43"/>
      <c r="E37" s="19" t="s">
        <v>247</v>
      </c>
      <c r="F37" s="20" t="s">
        <v>711</v>
      </c>
      <c r="G37" s="19" t="s">
        <v>609</v>
      </c>
      <c r="H37" s="25"/>
      <c r="I37" s="17" t="n">
        <v>292</v>
      </c>
      <c r="J37" s="21" t="n">
        <v>7149.62</v>
      </c>
      <c r="K37" s="21" t="n">
        <f aca="false">IF(J37="","",ROUND(J37*$R$2,2))</f>
        <v>2144.89</v>
      </c>
      <c r="L37" s="17" t="s">
        <v>49</v>
      </c>
      <c r="M37" s="24"/>
      <c r="N37" s="25"/>
      <c r="O37" s="20" t="s">
        <v>712</v>
      </c>
    </row>
    <row r="38" customFormat="false" ht="15" hidden="false" customHeight="true" outlineLevel="0" collapsed="false">
      <c r="A38" s="17" t="s">
        <v>713</v>
      </c>
      <c r="B38" s="18" t="n">
        <v>46065</v>
      </c>
      <c r="C38" s="19" t="s">
        <v>417</v>
      </c>
      <c r="D38" s="43"/>
      <c r="E38" s="19" t="s">
        <v>247</v>
      </c>
      <c r="F38" s="20" t="s">
        <v>714</v>
      </c>
      <c r="G38" s="19" t="s">
        <v>609</v>
      </c>
      <c r="H38" s="25"/>
      <c r="I38" s="17" t="n">
        <v>305</v>
      </c>
      <c r="J38" s="21" t="n">
        <v>7398.6</v>
      </c>
      <c r="K38" s="21" t="n">
        <f aca="false">IF(J38="","",ROUND(J38*$R$2,2))</f>
        <v>2219.58</v>
      </c>
      <c r="L38" s="17" t="s">
        <v>49</v>
      </c>
      <c r="M38" s="24"/>
      <c r="N38" s="25"/>
      <c r="O38" s="20" t="s">
        <v>715</v>
      </c>
    </row>
    <row r="39" customFormat="false" ht="15" hidden="false" customHeight="true" outlineLevel="0" collapsed="false">
      <c r="A39" s="17" t="s">
        <v>716</v>
      </c>
      <c r="B39" s="18" t="n">
        <v>46065</v>
      </c>
      <c r="C39" s="19" t="s">
        <v>423</v>
      </c>
      <c r="D39" s="43"/>
      <c r="E39" s="19" t="s">
        <v>424</v>
      </c>
      <c r="F39" s="20" t="s">
        <v>717</v>
      </c>
      <c r="G39" s="19" t="s">
        <v>872</v>
      </c>
      <c r="H39" s="25"/>
      <c r="I39" s="17" t="n">
        <v>306</v>
      </c>
      <c r="J39" s="21" t="n">
        <v>9196.92</v>
      </c>
      <c r="K39" s="21" t="n">
        <f aca="false">IF(J39="","",ROUND(J39*$R$2,2))</f>
        <v>2759.08</v>
      </c>
      <c r="L39" s="17" t="s">
        <v>49</v>
      </c>
      <c r="M39" s="24"/>
      <c r="N39" s="25"/>
      <c r="O39" s="20" t="s">
        <v>712</v>
      </c>
    </row>
    <row r="40">
      <c r="A40" s="17" t="s">
        <v>873</v>
      </c>
      <c r="B40" s="18">
        <v>46067</v>
      </c>
      <c r="C40" s="19" t="s">
        <v>859</v>
      </c>
      <c r="E40" s="19" t="s">
        <v>163</v>
      </c>
      <c r="F40" s="20" t="s">
        <v>860</v>
      </c>
      <c r="G40" s="0" t="s">
        <v>1024</v>
      </c>
      <c r="I40" s="17">
        <v>309</v>
      </c>
      <c r="J40" s="21">
        <v>17941.43</v>
      </c>
      <c r="K40" s="21">
        <f>IF(J40="","",ROUND(J40*$R$2,2))</f>
      </c>
      <c r="L40" s="17" t="s">
        <v>49</v>
      </c>
      <c r="O40" s="20" t="s">
        <v>863</v>
      </c>
    </row>
    <row r="41">
      <c r="A41" s="17" t="s">
        <v>874</v>
      </c>
      <c r="B41" s="18">
        <v>46067</v>
      </c>
      <c r="C41" s="19" t="s">
        <v>865</v>
      </c>
      <c r="E41" s="19" t="s">
        <v>866</v>
      </c>
      <c r="F41" s="20" t="s">
        <v>867</v>
      </c>
      <c r="G41" s="19" t="s">
        <v>609</v>
      </c>
      <c r="I41" s="17">
        <v>310</v>
      </c>
      <c r="J41" s="21">
        <v>11016.48</v>
      </c>
      <c r="K41" s="21">
        <f>IF(J41="","",ROUND(J41*$R$2,2))</f>
      </c>
      <c r="L41" s="17" t="s">
        <v>49</v>
      </c>
      <c r="O41" s="20" t="s">
        <v>863</v>
      </c>
    </row>
    <row r="42">
      <c r="A42" t="s">
        <v>907</v>
      </c>
      <c r="B42">
        <v>46074</v>
      </c>
      <c r="C42" t="s">
        <v>897</v>
      </c>
      <c r="E42" t="s">
        <v>898</v>
      </c>
      <c r="F42" t="s">
        <v>908</v>
      </c>
      <c r="G42" t="s">
        <v>609</v>
      </c>
      <c r="I42">
        <v>317</v>
      </c>
      <c r="J42">
        <v>551.65</v>
      </c>
      <c r="K42">
        <f>IF(J42="","",ROUND(J42*$R$2,2))</f>
      </c>
      <c r="L42" t="s">
        <v>49</v>
      </c>
      <c r="O42" t="s">
        <v>909</v>
      </c>
    </row>
    <row r="43">
      <c r="A43" t="s">
        <v>938</v>
      </c>
      <c r="B43">
        <v>46074</v>
      </c>
      <c r="C43" t="s">
        <v>915</v>
      </c>
      <c r="E43" t="s">
        <v>69</v>
      </c>
      <c r="F43" t="s">
        <v>916</v>
      </c>
      <c r="G43" t="s">
        <v>609</v>
      </c>
      <c r="I43">
        <v>318</v>
      </c>
      <c r="J43">
        <v>457.25</v>
      </c>
      <c r="K43">
        <f>IF(J43="","",ROUND(J43*$R$2,2))</f>
      </c>
      <c r="L43" t="s">
        <v>49</v>
      </c>
      <c r="O43" t="s">
        <v>919</v>
      </c>
    </row>
    <row r="44">
      <c r="A44" t="s">
        <v>939</v>
      </c>
      <c r="B44">
        <v>46076</v>
      </c>
      <c r="C44" t="s">
        <v>922</v>
      </c>
      <c r="E44" t="s">
        <v>163</v>
      </c>
      <c r="F44" t="s">
        <v>923</v>
      </c>
      <c r="G44" t="s">
        <v>609</v>
      </c>
      <c r="I44">
        <v>323</v>
      </c>
      <c r="J44">
        <v>24763.72</v>
      </c>
      <c r="K44">
        <f>IF(J44="","",ROUND(J44*$R$2,2))</f>
      </c>
      <c r="L44" t="s">
        <v>49</v>
      </c>
      <c r="O44" t="s">
        <v>863</v>
      </c>
    </row>
    <row r="45">
      <c r="A45" t="s">
        <v>940</v>
      </c>
      <c r="B45">
        <v>46079</v>
      </c>
      <c r="C45" t="s">
        <v>925</v>
      </c>
      <c r="E45" t="s">
        <v>926</v>
      </c>
      <c r="F45" t="s">
        <v>927</v>
      </c>
      <c r="G45" t="s">
        <v>609</v>
      </c>
      <c r="I45">
        <v>324</v>
      </c>
      <c r="J45">
        <v>5074.0</v>
      </c>
      <c r="K45">
        <f>IF(J45="","",ROUND(J45*$R$2,2))</f>
      </c>
      <c r="L45" t="s">
        <v>49</v>
      </c>
      <c r="O45" t="s">
        <v>863</v>
      </c>
    </row>
    <row r="46">
      <c r="A46" t="s">
        <v>941</v>
      </c>
      <c r="B46">
        <v>46079</v>
      </c>
      <c r="C46" t="s">
        <v>925</v>
      </c>
      <c r="E46" t="s">
        <v>926</v>
      </c>
      <c r="F46" t="s">
        <v>929</v>
      </c>
      <c r="G46" t="s">
        <v>609</v>
      </c>
      <c r="I46">
        <v>325</v>
      </c>
      <c r="J46">
        <v>7882.4</v>
      </c>
      <c r="K46">
        <f>IF(J46="","",ROUND(J46*$R$2,2))</f>
      </c>
      <c r="L46" t="s">
        <v>49</v>
      </c>
      <c r="O46" t="s">
        <v>931</v>
      </c>
    </row>
    <row r="47" customFormat="false" ht="15" hidden="false" customHeight="true" outlineLevel="0" collapsed="false">
      <c r="A47" s="35"/>
      <c r="B47" s="36"/>
      <c r="C47" s="35"/>
      <c r="D47" s="39"/>
      <c r="E47" s="35"/>
      <c r="F47" s="35"/>
      <c r="G47" s="35"/>
      <c r="H47" s="40"/>
      <c r="I47" s="35"/>
      <c r="J47" s="11"/>
      <c r="K47" s="11" t="str">
        <f aca="false">IF(J47="","",ROUND(J47*$R$2,2))</f>
        <v/>
      </c>
      <c r="L47" s="35"/>
      <c r="M47" s="39"/>
      <c r="N47" s="40"/>
      <c r="O47" s="35"/>
    </row>
    <row r="48" customFormat="false" ht="15" hidden="false" customHeight="true" outlineLevel="0" collapsed="false">
      <c r="A48" s="35"/>
      <c r="B48" s="36"/>
      <c r="C48" s="35"/>
      <c r="D48" s="39"/>
      <c r="E48" s="35"/>
      <c r="F48" s="35"/>
      <c r="G48" s="35"/>
      <c r="H48" s="40"/>
      <c r="I48" s="35"/>
      <c r="J48" s="11"/>
      <c r="K48" s="11" t="str">
        <f aca="false">IF(J48="","",ROUND(J48*$R$2,2))</f>
        <v/>
      </c>
      <c r="L48" s="35"/>
      <c r="M48" s="39"/>
      <c r="N48" s="40"/>
      <c r="O48" s="35"/>
    </row>
    <row r="49" customFormat="false" ht="15" hidden="false" customHeight="true" outlineLevel="0" collapsed="false">
      <c r="A49" s="35"/>
      <c r="B49" s="36"/>
      <c r="C49" s="35"/>
      <c r="D49" s="39"/>
      <c r="E49" s="35"/>
      <c r="F49" s="35"/>
      <c r="G49" s="35"/>
      <c r="H49" s="40"/>
      <c r="I49" s="35"/>
      <c r="J49" s="11"/>
      <c r="K49" s="11" t="str">
        <f aca="false">IF(J49="","",ROUND(J49*$R$2,2))</f>
        <v/>
      </c>
      <c r="L49" s="35"/>
      <c r="M49" s="39"/>
      <c r="N49" s="40"/>
      <c r="O49" s="35"/>
    </row>
    <row r="50" customFormat="false" ht="15" hidden="false" customHeight="true" outlineLevel="0" collapsed="false">
      <c r="A50" s="35"/>
      <c r="B50" s="36"/>
      <c r="C50" s="35"/>
      <c r="D50" s="39"/>
      <c r="E50" s="35"/>
      <c r="F50" s="35"/>
      <c r="G50" s="35"/>
      <c r="H50" s="40"/>
      <c r="I50" s="35"/>
      <c r="J50" s="11"/>
      <c r="K50" s="11" t="str">
        <f aca="false">IF(J50="","",ROUND(J50*$R$2,2))</f>
        <v/>
      </c>
      <c r="L50" s="35"/>
      <c r="M50" s="39"/>
      <c r="N50" s="40"/>
      <c r="O50" s="35"/>
    </row>
    <row r="51" customFormat="false" ht="15" hidden="false" customHeight="true" outlineLevel="0" collapsed="false">
      <c r="A51" s="35"/>
      <c r="B51" s="36"/>
      <c r="C51" s="35"/>
      <c r="D51" s="39"/>
      <c r="E51" s="35"/>
      <c r="F51" s="35"/>
      <c r="G51" s="35"/>
      <c r="H51" s="40"/>
      <c r="I51" s="35"/>
      <c r="J51" s="11"/>
      <c r="K51" s="11" t="str">
        <f aca="false">IF(J51="","",ROUND(J51*$R$2,2))</f>
        <v/>
      </c>
      <c r="L51" s="35"/>
      <c r="M51" s="39"/>
      <c r="N51" s="40"/>
      <c r="O51" s="35"/>
    </row>
    <row r="52" customFormat="false" ht="15" hidden="false" customHeight="true" outlineLevel="0" collapsed="false">
      <c r="A52" s="35"/>
      <c r="B52" s="36"/>
      <c r="C52" s="35"/>
      <c r="D52" s="39"/>
      <c r="E52" s="35"/>
      <c r="F52" s="35"/>
      <c r="G52" s="35"/>
      <c r="H52" s="40"/>
      <c r="I52" s="35"/>
      <c r="J52" s="11"/>
      <c r="K52" s="11" t="str">
        <f aca="false">IF(J52="","",ROUND(J52*$R$2,2))</f>
        <v/>
      </c>
      <c r="L52" s="35"/>
      <c r="M52" s="39"/>
      <c r="N52" s="40"/>
      <c r="O52" s="35"/>
    </row>
    <row r="53" customFormat="false" ht="15" hidden="false" customHeight="true" outlineLevel="0" collapsed="false">
      <c r="A53" s="35"/>
      <c r="B53" s="36"/>
      <c r="C53" s="35"/>
      <c r="D53" s="39"/>
      <c r="E53" s="35"/>
      <c r="F53" s="35"/>
      <c r="G53" s="35"/>
      <c r="H53" s="40"/>
      <c r="I53" s="35"/>
      <c r="J53" s="11"/>
      <c r="K53" s="11" t="str">
        <f aca="false">IF(J53="","",ROUND(J53*$R$2,2))</f>
        <v/>
      </c>
      <c r="L53" s="35"/>
      <c r="M53" s="39"/>
      <c r="N53" s="40"/>
      <c r="O53" s="35"/>
    </row>
    <row r="54" customFormat="false" ht="15" hidden="false" customHeight="true" outlineLevel="0" collapsed="false">
      <c r="A54" s="35"/>
      <c r="B54" s="36"/>
      <c r="C54" s="35"/>
      <c r="D54" s="39"/>
      <c r="E54" s="35"/>
      <c r="F54" s="35"/>
      <c r="G54" s="35"/>
      <c r="H54" s="40"/>
      <c r="I54" s="35"/>
      <c r="J54" s="11"/>
      <c r="K54" s="11" t="str">
        <f aca="false">IF(J54="","",ROUND(J54*$R$2,2))</f>
        <v/>
      </c>
      <c r="L54" s="35"/>
      <c r="M54" s="39"/>
      <c r="N54" s="40"/>
      <c r="O54" s="35"/>
    </row>
    <row r="55" customFormat="false" ht="15" hidden="false" customHeight="true" outlineLevel="0" collapsed="false">
      <c r="A55" s="35"/>
      <c r="B55" s="36"/>
      <c r="C55" s="35"/>
      <c r="D55" s="39"/>
      <c r="E55" s="35"/>
      <c r="F55" s="35"/>
      <c r="G55" s="35"/>
      <c r="H55" s="40"/>
      <c r="I55" s="35"/>
      <c r="J55" s="11"/>
      <c r="K55" s="11" t="str">
        <f aca="false">IF(J55="","",ROUND(J55*$R$2,2))</f>
        <v/>
      </c>
      <c r="L55" s="35"/>
      <c r="M55" s="39"/>
      <c r="N55" s="40"/>
      <c r="O55" s="35"/>
    </row>
    <row r="56" customFormat="false" ht="15" hidden="false" customHeight="true" outlineLevel="0" collapsed="false">
      <c r="A56" s="35"/>
      <c r="B56" s="36"/>
      <c r="C56" s="35"/>
      <c r="D56" s="39"/>
      <c r="E56" s="35"/>
      <c r="F56" s="35"/>
      <c r="G56" s="35"/>
      <c r="H56" s="40"/>
      <c r="I56" s="35"/>
      <c r="J56" s="11"/>
      <c r="K56" s="11" t="str">
        <f aca="false">IF(J56="","",ROUND(J56*$R$2,2))</f>
        <v/>
      </c>
      <c r="L56" s="35"/>
      <c r="M56" s="39"/>
      <c r="N56" s="40"/>
      <c r="O56" s="35"/>
    </row>
    <row r="57" customFormat="false" ht="15" hidden="false" customHeight="true" outlineLevel="0" collapsed="false">
      <c r="A57" s="35"/>
      <c r="B57" s="36"/>
      <c r="C57" s="35"/>
      <c r="D57" s="39"/>
      <c r="E57" s="35"/>
      <c r="F57" s="35"/>
      <c r="G57" s="35"/>
      <c r="H57" s="40"/>
      <c r="I57" s="35"/>
      <c r="J57" s="11"/>
      <c r="K57" s="11" t="str">
        <f aca="false">IF(J57="","",ROUND(J57*$R$2,2))</f>
        <v/>
      </c>
      <c r="L57" s="35"/>
      <c r="M57" s="39"/>
      <c r="N57" s="40"/>
      <c r="O57" s="35"/>
    </row>
    <row r="58" customFormat="false" ht="15" hidden="false" customHeight="true" outlineLevel="0" collapsed="false">
      <c r="A58" s="35"/>
      <c r="B58" s="36"/>
      <c r="C58" s="35"/>
      <c r="D58" s="39"/>
      <c r="E58" s="35"/>
      <c r="F58" s="35"/>
      <c r="G58" s="35"/>
      <c r="H58" s="40"/>
      <c r="I58" s="35"/>
      <c r="J58" s="11"/>
      <c r="K58" s="11" t="str">
        <f aca="false">IF(J58="","",ROUND(J58*$R$2,2))</f>
        <v/>
      </c>
      <c r="L58" s="35"/>
      <c r="M58" s="39"/>
      <c r="N58" s="40"/>
      <c r="O58" s="35"/>
    </row>
    <row r="59" customFormat="false" ht="15" hidden="false" customHeight="true" outlineLevel="0" collapsed="false">
      <c r="A59" s="35"/>
      <c r="B59" s="36"/>
      <c r="C59" s="35"/>
      <c r="D59" s="39"/>
      <c r="E59" s="35"/>
      <c r="F59" s="35"/>
      <c r="G59" s="35"/>
      <c r="H59" s="40"/>
      <c r="I59" s="35"/>
      <c r="J59" s="11"/>
      <c r="K59" s="11" t="str">
        <f aca="false">IF(J59="","",ROUND(J59*$R$2,2))</f>
        <v/>
      </c>
      <c r="L59" s="35"/>
      <c r="M59" s="39"/>
      <c r="N59" s="40"/>
      <c r="O59" s="35"/>
    </row>
    <row r="60" customFormat="false" ht="15" hidden="false" customHeight="true" outlineLevel="0" collapsed="false">
      <c r="A60" s="35"/>
      <c r="B60" s="36"/>
      <c r="C60" s="35"/>
      <c r="D60" s="39"/>
      <c r="E60" s="35"/>
      <c r="F60" s="35"/>
      <c r="G60" s="35"/>
      <c r="H60" s="40"/>
      <c r="I60" s="35"/>
      <c r="J60" s="11"/>
      <c r="K60" s="11" t="str">
        <f aca="false">IF(J60="","",ROUND(J60*$R$2,2))</f>
        <v/>
      </c>
      <c r="L60" s="35"/>
      <c r="M60" s="39"/>
      <c r="N60" s="40"/>
      <c r="O60" s="35"/>
    </row>
    <row r="61" customFormat="false" ht="15" hidden="false" customHeight="true" outlineLevel="0" collapsed="false">
      <c r="A61" s="35"/>
      <c r="B61" s="36"/>
      <c r="C61" s="35"/>
      <c r="D61" s="39"/>
      <c r="E61" s="35"/>
      <c r="F61" s="35"/>
      <c r="G61" s="35"/>
      <c r="H61" s="40"/>
      <c r="I61" s="35"/>
      <c r="J61" s="11"/>
      <c r="K61" s="11" t="str">
        <f aca="false">IF(J61="","",ROUND(J61*$R$2,2))</f>
        <v/>
      </c>
      <c r="L61" s="35"/>
      <c r="M61" s="39"/>
      <c r="N61" s="40"/>
      <c r="O61" s="35"/>
    </row>
    <row r="62" customFormat="false" ht="15" hidden="false" customHeight="true" outlineLevel="0" collapsed="false">
      <c r="A62" s="35"/>
      <c r="B62" s="36"/>
      <c r="C62" s="35"/>
      <c r="D62" s="39"/>
      <c r="E62" s="35"/>
      <c r="F62" s="35"/>
      <c r="G62" s="35"/>
      <c r="H62" s="40"/>
      <c r="I62" s="35"/>
      <c r="J62" s="11"/>
      <c r="K62" s="11" t="str">
        <f aca="false">IF(J62="","",ROUND(J62*$R$2,2))</f>
        <v/>
      </c>
      <c r="L62" s="35"/>
      <c r="M62" s="39"/>
      <c r="N62" s="40"/>
      <c r="O62" s="35"/>
    </row>
  </sheetData>
  <autoFilter ref="A2:O60"/>
  <mergeCells count="1">
    <mergeCell ref="A1:O1"/>
  </mergeCells>
  <conditionalFormatting sqref="G3:G60">
    <cfRule type="expression" priority="2" aboveAverage="0" equalAverage="0" bottom="0" percent="0" rank="0" text="" dxfId="18">
      <formula>$G3="Measurement Needed"</formula>
    </cfRule>
    <cfRule type="expression" priority="3" aboveAverage="0" equalAverage="0" bottom="0" percent="0" rank="0" text="" dxfId="11">
      <formula>$G3="Measured"</formula>
    </cfRule>
    <cfRule type="expression" priority="4" aboveAverage="0" equalAverage="0" bottom="0" percent="0" rank="0" text="" dxfId="12">
      <formula>$G3="Quote Sent — Awaiting Confirmation"</formula>
    </cfRule>
    <cfRule type="expression" priority="5" aboveAverage="0" equalAverage="0" bottom="0" percent="0" rank="0" text="" dxfId="12">
      <formula>$G3="Lead — New"</formula>
    </cfRule>
    <cfRule type="expression" priority="6" aboveAverage="0" equalAverage="0" bottom="0" percent="0" rank="0" text="" dxfId="10">
      <formula>$G3="Confirmed — Deposit Paid"</formula>
    </cfRule>
    <cfRule type="expression" priority="7" aboveAverage="0" equalAverage="0" bottom="0" percent="0" rank="0" text="" dxfId="10">
      <formula>$G3="In Production"</formula>
    </cfRule>
    <cfRule type="expression" priority="8" aboveAverage="0" equalAverage="0" bottom="0" percent="0" rank="0" text="" dxfId="10">
      <formula>$G3="Ready / Delivered"</formula>
    </cfRule>
    <cfRule type="expression" priority="9" aboveAverage="0" equalAverage="0" bottom="0" percent="0" rank="0" text="" dxfId="13">
      <formula>$G3="Completed"</formula>
    </cfRule>
    <cfRule type="expression" priority="10" aboveAverage="0" equalAverage="0" bottom="0" percent="0" rank="0" text="" dxfId="13">
      <formula>$G3="Lost / On Hold"</formula>
    </cfRule>
  </conditionalFormatting>
  <dataValidations count="2">
    <dataValidation allowBlank="true" errorStyle="stop" operator="between" showDropDown="false" showErrorMessage="false" showInputMessage="false" sqref="G3:G60" type="list">
      <formula1>"Lead — New,Measurement Needed,Measured,Quote Sent — Awaiting Confirmation,Confirmed — Deposit Paid,In Production,Ready / Delivered,Completed,Lost / On Hold"</formula1>
      <formula2>0</formula2>
    </dataValidation>
    <dataValidation allowBlank="true" errorStyle="stop" operator="between" showDropDown="false" showErrorMessage="false" showInputMessage="false" sqref="L3:L6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36"/>
    <col collapsed="false" customWidth="true" hidden="false" outlineLevel="0" max="9" min="8" style="1" width="10"/>
    <col collapsed="false" customWidth="true" hidden="false" outlineLevel="0" max="10" min="10" style="1" width="13"/>
    <col collapsed="false" customWidth="true" hidden="false" outlineLevel="0" max="12" min="11" style="1" width="18"/>
    <col collapsed="false" customWidth="true" hidden="false" outlineLevel="0" max="13" min="13" style="1" width="28"/>
  </cols>
  <sheetData>
    <row r="1" customFormat="false" ht="30" hidden="false" customHeight="true" outlineLevel="0" collapsed="false">
      <c r="A1" s="2" t="s">
        <v>718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16" t="s">
        <v>24</v>
      </c>
      <c r="B2" s="16" t="s">
        <v>719</v>
      </c>
      <c r="C2" s="16" t="s">
        <v>23</v>
      </c>
      <c r="D2" s="16" t="s">
        <v>596</v>
      </c>
      <c r="E2" s="16" t="s">
        <v>720</v>
      </c>
      <c r="F2" s="16" t="s">
        <v>28</v>
      </c>
      <c r="G2" s="16" t="s">
        <v>721</v>
      </c>
      <c r="H2" s="16" t="s">
        <v>722</v>
      </c>
      <c r="I2" s="16" t="s">
        <v>723</v>
      </c>
      <c r="J2" s="16" t="s">
        <v>724</v>
      </c>
      <c r="K2" s="16" t="s">
        <v>725</v>
      </c>
      <c r="L2" s="16" t="s">
        <v>726</v>
      </c>
      <c r="M2" s="16" t="s">
        <v>43</v>
      </c>
    </row>
    <row r="3" customFormat="false" ht="23.25" hidden="false" customHeight="true" outlineLevel="0" collapsed="false">
      <c r="A3" s="18" t="n">
        <v>45966</v>
      </c>
      <c r="B3" s="19" t="s">
        <v>727</v>
      </c>
      <c r="C3" s="17" t="s">
        <v>138</v>
      </c>
      <c r="D3" s="19" t="s">
        <v>139</v>
      </c>
      <c r="E3" s="19" t="s">
        <v>728</v>
      </c>
      <c r="F3" s="19" t="s">
        <v>142</v>
      </c>
      <c r="G3" s="20" t="s">
        <v>729</v>
      </c>
      <c r="H3" s="55" t="n">
        <v>27</v>
      </c>
      <c r="I3" s="55"/>
      <c r="J3" s="17" t="s">
        <v>64</v>
      </c>
      <c r="K3" s="19" t="s">
        <v>730</v>
      </c>
      <c r="L3" s="19" t="s">
        <v>731</v>
      </c>
      <c r="M3" s="20" t="s">
        <v>732</v>
      </c>
    </row>
    <row r="4" customFormat="false" ht="34.5" hidden="false" customHeight="true" outlineLevel="0" collapsed="false">
      <c r="A4" s="18" t="n">
        <v>45967</v>
      </c>
      <c r="B4" s="19" t="s">
        <v>727</v>
      </c>
      <c r="C4" s="17" t="s">
        <v>149</v>
      </c>
      <c r="D4" s="19" t="s">
        <v>150</v>
      </c>
      <c r="E4" s="19" t="s">
        <v>733</v>
      </c>
      <c r="F4" s="19" t="s">
        <v>153</v>
      </c>
      <c r="G4" s="20" t="s">
        <v>734</v>
      </c>
      <c r="H4" s="55" t="n">
        <v>2.5</v>
      </c>
      <c r="I4" s="55"/>
      <c r="J4" s="17" t="s">
        <v>64</v>
      </c>
      <c r="K4" s="19" t="s">
        <v>730</v>
      </c>
      <c r="L4" s="19" t="s">
        <v>735</v>
      </c>
      <c r="M4" s="20" t="s">
        <v>736</v>
      </c>
    </row>
    <row r="5" customFormat="false" ht="23.25" hidden="false" customHeight="true" outlineLevel="0" collapsed="false">
      <c r="A5" s="18" t="n">
        <v>45974</v>
      </c>
      <c r="B5" s="19" t="s">
        <v>727</v>
      </c>
      <c r="C5" s="17" t="s">
        <v>155</v>
      </c>
      <c r="D5" s="19" t="s">
        <v>156</v>
      </c>
      <c r="E5" s="19" t="s">
        <v>737</v>
      </c>
      <c r="F5" s="19" t="s">
        <v>159</v>
      </c>
      <c r="G5" s="20" t="s">
        <v>738</v>
      </c>
      <c r="H5" s="55"/>
      <c r="I5" s="55"/>
      <c r="J5" s="17" t="s">
        <v>64</v>
      </c>
      <c r="K5" s="19" t="s">
        <v>730</v>
      </c>
      <c r="L5" s="19" t="s">
        <v>739</v>
      </c>
      <c r="M5" s="20" t="s">
        <v>740</v>
      </c>
    </row>
    <row r="6" customFormat="false" ht="15" hidden="false" customHeight="true" outlineLevel="0" collapsed="false">
      <c r="A6" s="36"/>
      <c r="B6" s="35"/>
      <c r="C6" s="35"/>
      <c r="D6" s="35"/>
      <c r="E6" s="35"/>
      <c r="F6" s="35"/>
      <c r="G6" s="35"/>
      <c r="H6" s="56"/>
      <c r="I6" s="56"/>
      <c r="J6" s="35"/>
      <c r="K6" s="35"/>
      <c r="L6" s="35"/>
      <c r="M6" s="35"/>
    </row>
    <row r="7" customFormat="false" ht="15" hidden="false" customHeight="true" outlineLevel="0" collapsed="false">
      <c r="A7" s="36"/>
      <c r="B7" s="35"/>
      <c r="C7" s="35"/>
      <c r="D7" s="35"/>
      <c r="E7" s="35"/>
      <c r="F7" s="35"/>
      <c r="G7" s="35"/>
      <c r="H7" s="56"/>
      <c r="I7" s="56"/>
      <c r="J7" s="35"/>
      <c r="K7" s="35"/>
      <c r="L7" s="35"/>
      <c r="M7" s="35"/>
    </row>
    <row r="8" customFormat="false" ht="15" hidden="false" customHeight="true" outlineLevel="0" collapsed="false">
      <c r="A8" s="36"/>
      <c r="B8" s="35"/>
      <c r="C8" s="35"/>
      <c r="D8" s="35"/>
      <c r="E8" s="35"/>
      <c r="F8" s="35"/>
      <c r="G8" s="35"/>
      <c r="H8" s="56"/>
      <c r="I8" s="56"/>
      <c r="J8" s="35"/>
      <c r="K8" s="35"/>
      <c r="L8" s="35"/>
      <c r="M8" s="35"/>
    </row>
    <row r="9" customFormat="false" ht="15" hidden="false" customHeight="true" outlineLevel="0" collapsed="false">
      <c r="A9" s="36"/>
      <c r="B9" s="35"/>
      <c r="C9" s="35"/>
      <c r="D9" s="35"/>
      <c r="E9" s="35"/>
      <c r="F9" s="35"/>
      <c r="G9" s="35"/>
      <c r="H9" s="56"/>
      <c r="I9" s="56"/>
      <c r="J9" s="35"/>
      <c r="K9" s="35"/>
      <c r="L9" s="35"/>
      <c r="M9" s="35"/>
    </row>
    <row r="10" customFormat="false" ht="15" hidden="false" customHeight="true" outlineLevel="0" collapsed="false">
      <c r="A10" s="36"/>
      <c r="B10" s="35"/>
      <c r="C10" s="35"/>
      <c r="D10" s="35"/>
      <c r="E10" s="35"/>
      <c r="F10" s="35"/>
      <c r="G10" s="35"/>
      <c r="H10" s="56"/>
      <c r="I10" s="56"/>
      <c r="J10" s="35"/>
      <c r="K10" s="35"/>
      <c r="L10" s="35"/>
      <c r="M10" s="35"/>
    </row>
    <row r="11" customFormat="false" ht="15" hidden="false" customHeight="true" outlineLevel="0" collapsed="false">
      <c r="A11" s="36"/>
      <c r="B11" s="35"/>
      <c r="C11" s="35"/>
      <c r="D11" s="35"/>
      <c r="E11" s="35"/>
      <c r="F11" s="35"/>
      <c r="G11" s="35"/>
      <c r="H11" s="56"/>
      <c r="I11" s="56"/>
      <c r="J11" s="35"/>
      <c r="K11" s="35"/>
      <c r="L11" s="35"/>
      <c r="M11" s="35"/>
    </row>
    <row r="12" customFormat="false" ht="15" hidden="false" customHeight="true" outlineLevel="0" collapsed="false">
      <c r="A12" s="36"/>
      <c r="B12" s="35"/>
      <c r="C12" s="35"/>
      <c r="D12" s="35"/>
      <c r="E12" s="35"/>
      <c r="F12" s="35"/>
      <c r="G12" s="35"/>
      <c r="H12" s="56"/>
      <c r="I12" s="56"/>
      <c r="J12" s="35"/>
      <c r="K12" s="35"/>
      <c r="L12" s="35"/>
      <c r="M12" s="35"/>
    </row>
    <row r="13" customFormat="false" ht="15" hidden="false" customHeight="true" outlineLevel="0" collapsed="false">
      <c r="A13" s="36"/>
      <c r="B13" s="35"/>
      <c r="C13" s="35"/>
      <c r="D13" s="35"/>
      <c r="E13" s="35"/>
      <c r="F13" s="35"/>
      <c r="G13" s="35"/>
      <c r="H13" s="56"/>
      <c r="I13" s="56"/>
      <c r="J13" s="35"/>
      <c r="K13" s="35"/>
      <c r="L13" s="35"/>
      <c r="M13" s="35"/>
    </row>
    <row r="14" customFormat="false" ht="15" hidden="false" customHeight="true" outlineLevel="0" collapsed="false">
      <c r="A14" s="36"/>
      <c r="B14" s="35"/>
      <c r="C14" s="35"/>
      <c r="D14" s="35"/>
      <c r="E14" s="35"/>
      <c r="F14" s="35"/>
      <c r="G14" s="35"/>
      <c r="H14" s="56"/>
      <c r="I14" s="56"/>
      <c r="J14" s="35"/>
      <c r="K14" s="35"/>
      <c r="L14" s="35"/>
      <c r="M14" s="35"/>
    </row>
    <row r="15" customFormat="false" ht="15" hidden="false" customHeight="true" outlineLevel="0" collapsed="false">
      <c r="A15" s="36"/>
      <c r="B15" s="35"/>
      <c r="C15" s="35"/>
      <c r="D15" s="35"/>
      <c r="E15" s="35"/>
      <c r="F15" s="35"/>
      <c r="G15" s="35"/>
      <c r="H15" s="56"/>
      <c r="I15" s="56"/>
      <c r="J15" s="35"/>
      <c r="K15" s="35"/>
      <c r="L15" s="35"/>
      <c r="M15" s="35"/>
    </row>
    <row r="16" customFormat="false" ht="15" hidden="false" customHeight="true" outlineLevel="0" collapsed="false">
      <c r="A16" s="36"/>
      <c r="B16" s="35"/>
      <c r="C16" s="35"/>
      <c r="D16" s="35"/>
      <c r="E16" s="35"/>
      <c r="F16" s="35"/>
      <c r="G16" s="35"/>
      <c r="H16" s="56"/>
      <c r="I16" s="56"/>
      <c r="J16" s="35"/>
      <c r="K16" s="35"/>
      <c r="L16" s="35"/>
      <c r="M16" s="35"/>
    </row>
    <row r="17" customFormat="false" ht="15" hidden="false" customHeight="true" outlineLevel="0" collapsed="false">
      <c r="A17" s="36"/>
      <c r="B17" s="35"/>
      <c r="C17" s="35"/>
      <c r="D17" s="35"/>
      <c r="E17" s="35"/>
      <c r="F17" s="35"/>
      <c r="G17" s="35"/>
      <c r="H17" s="56"/>
      <c r="I17" s="56"/>
      <c r="J17" s="35"/>
      <c r="K17" s="35"/>
      <c r="L17" s="35"/>
      <c r="M17" s="35"/>
    </row>
    <row r="18" customFormat="false" ht="15" hidden="false" customHeight="true" outlineLevel="0" collapsed="false">
      <c r="A18" s="36"/>
      <c r="B18" s="35"/>
      <c r="C18" s="35"/>
      <c r="D18" s="35"/>
      <c r="E18" s="35"/>
      <c r="F18" s="35"/>
      <c r="G18" s="35"/>
      <c r="H18" s="56"/>
      <c r="I18" s="56"/>
      <c r="J18" s="35"/>
      <c r="K18" s="35"/>
      <c r="L18" s="35"/>
      <c r="M18" s="35"/>
    </row>
    <row r="19" customFormat="false" ht="15" hidden="false" customHeight="true" outlineLevel="0" collapsed="false">
      <c r="A19" s="36"/>
      <c r="B19" s="35"/>
      <c r="C19" s="35"/>
      <c r="D19" s="35"/>
      <c r="E19" s="35"/>
      <c r="F19" s="35"/>
      <c r="G19" s="35"/>
      <c r="H19" s="56"/>
      <c r="I19" s="56"/>
      <c r="J19" s="35"/>
      <c r="K19" s="35"/>
      <c r="L19" s="35"/>
      <c r="M19" s="35"/>
    </row>
    <row r="20" customFormat="false" ht="15" hidden="false" customHeight="true" outlineLevel="0" collapsed="false">
      <c r="A20" s="36"/>
      <c r="B20" s="35"/>
      <c r="C20" s="35"/>
      <c r="D20" s="35"/>
      <c r="E20" s="35"/>
      <c r="F20" s="35"/>
      <c r="G20" s="35"/>
      <c r="H20" s="56"/>
      <c r="I20" s="56"/>
      <c r="J20" s="35"/>
      <c r="K20" s="35"/>
      <c r="L20" s="35"/>
      <c r="M20" s="35"/>
    </row>
    <row r="21" customFormat="false" ht="15" hidden="false" customHeight="true" outlineLevel="0" collapsed="false">
      <c r="A21" s="36"/>
      <c r="B21" s="35"/>
      <c r="C21" s="35"/>
      <c r="D21" s="35"/>
      <c r="E21" s="35"/>
      <c r="F21" s="35"/>
      <c r="G21" s="35"/>
      <c r="H21" s="56"/>
      <c r="I21" s="56"/>
      <c r="J21" s="35"/>
      <c r="K21" s="35"/>
      <c r="L21" s="35"/>
      <c r="M21" s="35"/>
    </row>
    <row r="22" customFormat="false" ht="15" hidden="false" customHeight="true" outlineLevel="0" collapsed="false">
      <c r="A22" s="36"/>
      <c r="B22" s="35"/>
      <c r="C22" s="35"/>
      <c r="D22" s="35"/>
      <c r="E22" s="35"/>
      <c r="F22" s="35"/>
      <c r="G22" s="35"/>
      <c r="H22" s="56"/>
      <c r="I22" s="56"/>
      <c r="J22" s="35"/>
      <c r="K22" s="35"/>
      <c r="L22" s="35"/>
      <c r="M22" s="35"/>
    </row>
    <row r="23" customFormat="false" ht="15" hidden="false" customHeight="true" outlineLevel="0" collapsed="false">
      <c r="A23" s="36"/>
      <c r="B23" s="35"/>
      <c r="C23" s="35"/>
      <c r="D23" s="35"/>
      <c r="E23" s="35"/>
      <c r="F23" s="35"/>
      <c r="G23" s="35"/>
      <c r="H23" s="56"/>
      <c r="I23" s="56"/>
      <c r="J23" s="35"/>
      <c r="K23" s="35"/>
      <c r="L23" s="35"/>
      <c r="M23" s="35"/>
    </row>
    <row r="24" customFormat="false" ht="15" hidden="false" customHeight="true" outlineLevel="0" collapsed="false">
      <c r="A24" s="36"/>
      <c r="B24" s="35"/>
      <c r="C24" s="35"/>
      <c r="D24" s="35"/>
      <c r="E24" s="35"/>
      <c r="F24" s="35"/>
      <c r="G24" s="35"/>
      <c r="H24" s="56"/>
      <c r="I24" s="56"/>
      <c r="J24" s="35"/>
      <c r="K24" s="35"/>
      <c r="L24" s="35"/>
      <c r="M24" s="35"/>
    </row>
    <row r="25" customFormat="false" ht="15" hidden="false" customHeight="true" outlineLevel="0" collapsed="false">
      <c r="A25" s="36"/>
      <c r="B25" s="35"/>
      <c r="C25" s="35"/>
      <c r="D25" s="35"/>
      <c r="E25" s="35"/>
      <c r="F25" s="35"/>
      <c r="G25" s="35"/>
      <c r="H25" s="56"/>
      <c r="I25" s="56"/>
      <c r="J25" s="35"/>
      <c r="K25" s="35"/>
      <c r="L25" s="35"/>
      <c r="M25" s="35"/>
    </row>
    <row r="26" customFormat="false" ht="15" hidden="false" customHeight="true" outlineLevel="0" collapsed="false">
      <c r="A26" s="36"/>
      <c r="B26" s="35"/>
      <c r="C26" s="35"/>
      <c r="D26" s="35"/>
      <c r="E26" s="35"/>
      <c r="F26" s="35"/>
      <c r="G26" s="35"/>
      <c r="H26" s="56"/>
      <c r="I26" s="56"/>
      <c r="J26" s="35"/>
      <c r="K26" s="35"/>
      <c r="L26" s="35"/>
      <c r="M26" s="35"/>
    </row>
    <row r="27" customFormat="false" ht="15" hidden="false" customHeight="true" outlineLevel="0" collapsed="false">
      <c r="A27" s="36"/>
      <c r="B27" s="35"/>
      <c r="C27" s="35"/>
      <c r="D27" s="35"/>
      <c r="E27" s="35"/>
      <c r="F27" s="35"/>
      <c r="G27" s="35"/>
      <c r="H27" s="56"/>
      <c r="I27" s="56"/>
      <c r="J27" s="35"/>
      <c r="K27" s="35"/>
      <c r="L27" s="35"/>
      <c r="M27" s="35"/>
    </row>
    <row r="28" customFormat="false" ht="15" hidden="false" customHeight="true" outlineLevel="0" collapsed="false">
      <c r="A28" s="36"/>
      <c r="B28" s="35"/>
      <c r="C28" s="35"/>
      <c r="D28" s="35"/>
      <c r="E28" s="35"/>
      <c r="F28" s="35"/>
      <c r="G28" s="35"/>
      <c r="H28" s="56"/>
      <c r="I28" s="56"/>
      <c r="J28" s="35"/>
      <c r="K28" s="35"/>
      <c r="L28" s="35"/>
      <c r="M28" s="35"/>
    </row>
    <row r="29" customFormat="false" ht="15" hidden="false" customHeight="true" outlineLevel="0" collapsed="false">
      <c r="A29" s="36"/>
      <c r="B29" s="35"/>
      <c r="C29" s="35"/>
      <c r="D29" s="35"/>
      <c r="E29" s="35"/>
      <c r="F29" s="35"/>
      <c r="G29" s="35"/>
      <c r="H29" s="56"/>
      <c r="I29" s="56"/>
      <c r="J29" s="35"/>
      <c r="K29" s="35"/>
      <c r="L29" s="35"/>
      <c r="M29" s="35"/>
    </row>
    <row r="30" customFormat="false" ht="15" hidden="false" customHeight="true" outlineLevel="0" collapsed="false">
      <c r="A30" s="36"/>
      <c r="B30" s="35"/>
      <c r="C30" s="35"/>
      <c r="D30" s="35"/>
      <c r="E30" s="35"/>
      <c r="F30" s="35"/>
      <c r="G30" s="35"/>
      <c r="H30" s="56"/>
      <c r="I30" s="56"/>
      <c r="J30" s="35"/>
      <c r="K30" s="35"/>
      <c r="L30" s="35"/>
      <c r="M30" s="35"/>
    </row>
    <row r="31" customFormat="false" ht="15" hidden="false" customHeight="true" outlineLevel="0" collapsed="false">
      <c r="A31" s="36"/>
      <c r="B31" s="35"/>
      <c r="C31" s="35"/>
      <c r="D31" s="35"/>
      <c r="E31" s="35"/>
      <c r="F31" s="35"/>
      <c r="G31" s="35"/>
      <c r="H31" s="56"/>
      <c r="I31" s="56"/>
      <c r="J31" s="35"/>
      <c r="K31" s="35"/>
      <c r="L31" s="35"/>
      <c r="M31" s="35"/>
    </row>
    <row r="32" customFormat="false" ht="15" hidden="false" customHeight="true" outlineLevel="0" collapsed="false">
      <c r="A32" s="36"/>
      <c r="B32" s="35"/>
      <c r="C32" s="35"/>
      <c r="D32" s="35"/>
      <c r="E32" s="35"/>
      <c r="F32" s="35"/>
      <c r="G32" s="35"/>
      <c r="H32" s="56"/>
      <c r="I32" s="56"/>
      <c r="J32" s="35"/>
      <c r="K32" s="35"/>
      <c r="L32" s="35"/>
      <c r="M32" s="35"/>
    </row>
    <row r="33" customFormat="false" ht="15" hidden="false" customHeight="true" outlineLevel="0" collapsed="false">
      <c r="A33" s="36"/>
      <c r="B33" s="35"/>
      <c r="C33" s="35"/>
      <c r="D33" s="35"/>
      <c r="E33" s="35"/>
      <c r="F33" s="35"/>
      <c r="G33" s="35"/>
      <c r="H33" s="56"/>
      <c r="I33" s="56"/>
      <c r="J33" s="35"/>
      <c r="K33" s="35"/>
      <c r="L33" s="35"/>
      <c r="M33" s="35"/>
    </row>
    <row r="34" customFormat="false" ht="15" hidden="false" customHeight="true" outlineLevel="0" collapsed="false">
      <c r="A34" s="36"/>
      <c r="B34" s="35"/>
      <c r="C34" s="35"/>
      <c r="D34" s="35"/>
      <c r="E34" s="35"/>
      <c r="F34" s="35"/>
      <c r="G34" s="35"/>
      <c r="H34" s="56"/>
      <c r="I34" s="56"/>
      <c r="J34" s="35"/>
      <c r="K34" s="35"/>
      <c r="L34" s="35"/>
      <c r="M34" s="35"/>
    </row>
    <row r="35" customFormat="false" ht="15" hidden="false" customHeight="true" outlineLevel="0" collapsed="false">
      <c r="A35" s="36"/>
      <c r="B35" s="35"/>
      <c r="C35" s="35"/>
      <c r="D35" s="35"/>
      <c r="E35" s="35"/>
      <c r="F35" s="35"/>
      <c r="G35" s="35"/>
      <c r="H35" s="56"/>
      <c r="I35" s="56"/>
      <c r="J35" s="35"/>
      <c r="K35" s="35"/>
      <c r="L35" s="35"/>
      <c r="M35" s="35"/>
    </row>
    <row r="36" customFormat="false" ht="15" hidden="false" customHeight="true" outlineLevel="0" collapsed="false">
      <c r="A36" s="36"/>
      <c r="B36" s="35"/>
      <c r="C36" s="35"/>
      <c r="D36" s="35"/>
      <c r="E36" s="35"/>
      <c r="F36" s="35"/>
      <c r="G36" s="35"/>
      <c r="H36" s="56"/>
      <c r="I36" s="56"/>
      <c r="J36" s="35"/>
      <c r="K36" s="35"/>
      <c r="L36" s="35"/>
      <c r="M36" s="35"/>
    </row>
    <row r="37" customFormat="false" ht="15" hidden="false" customHeight="true" outlineLevel="0" collapsed="false">
      <c r="A37" s="36"/>
      <c r="B37" s="35"/>
      <c r="C37" s="35"/>
      <c r="D37" s="35"/>
      <c r="E37" s="35"/>
      <c r="F37" s="35"/>
      <c r="G37" s="35"/>
      <c r="H37" s="56"/>
      <c r="I37" s="56"/>
      <c r="J37" s="35"/>
      <c r="K37" s="35"/>
      <c r="L37" s="35"/>
      <c r="M37" s="35"/>
    </row>
    <row r="38" customFormat="false" ht="15" hidden="false" customHeight="true" outlineLevel="0" collapsed="false">
      <c r="A38" s="36"/>
      <c r="B38" s="35"/>
      <c r="C38" s="35"/>
      <c r="D38" s="35"/>
      <c r="E38" s="35"/>
      <c r="F38" s="35"/>
      <c r="G38" s="35"/>
      <c r="H38" s="56"/>
      <c r="I38" s="56"/>
      <c r="J38" s="35"/>
      <c r="K38" s="35"/>
      <c r="L38" s="35"/>
      <c r="M38" s="35"/>
    </row>
    <row r="39" customFormat="false" ht="15" hidden="false" customHeight="true" outlineLevel="0" collapsed="false">
      <c r="A39" s="36"/>
      <c r="B39" s="35"/>
      <c r="C39" s="35"/>
      <c r="D39" s="35"/>
      <c r="E39" s="35"/>
      <c r="F39" s="35"/>
      <c r="G39" s="35"/>
      <c r="H39" s="56"/>
      <c r="I39" s="56"/>
      <c r="J39" s="35"/>
      <c r="K39" s="35"/>
      <c r="L39" s="35"/>
      <c r="M39" s="35"/>
    </row>
    <row r="40" customFormat="false" ht="15" hidden="false" customHeight="true" outlineLevel="0" collapsed="false">
      <c r="A40" s="36"/>
      <c r="B40" s="35"/>
      <c r="C40" s="35"/>
      <c r="D40" s="35"/>
      <c r="E40" s="35"/>
      <c r="F40" s="35"/>
      <c r="G40" s="35"/>
      <c r="H40" s="56"/>
      <c r="I40" s="56"/>
      <c r="J40" s="35"/>
      <c r="K40" s="35"/>
      <c r="L40" s="35"/>
      <c r="M40" s="35"/>
    </row>
    <row r="41" customFormat="false" ht="15" hidden="false" customHeight="true" outlineLevel="0" collapsed="false">
      <c r="A41" s="36"/>
      <c r="B41" s="35"/>
      <c r="C41" s="35"/>
      <c r="D41" s="35"/>
      <c r="E41" s="35"/>
      <c r="F41" s="35"/>
      <c r="G41" s="35"/>
      <c r="H41" s="56"/>
      <c r="I41" s="56"/>
      <c r="J41" s="35"/>
      <c r="K41" s="35"/>
      <c r="L41" s="35"/>
      <c r="M41" s="35"/>
    </row>
    <row r="42" customFormat="false" ht="15" hidden="false" customHeight="true" outlineLevel="0" collapsed="false">
      <c r="A42" s="36"/>
      <c r="B42" s="35"/>
      <c r="C42" s="35"/>
      <c r="D42" s="35"/>
      <c r="E42" s="35"/>
      <c r="F42" s="35"/>
      <c r="G42" s="35"/>
      <c r="H42" s="56"/>
      <c r="I42" s="56"/>
      <c r="J42" s="35"/>
      <c r="K42" s="35"/>
      <c r="L42" s="35"/>
      <c r="M42" s="35"/>
    </row>
    <row r="43" customFormat="false" ht="15" hidden="false" customHeight="true" outlineLevel="0" collapsed="false">
      <c r="A43" s="36"/>
      <c r="B43" s="35"/>
      <c r="C43" s="35"/>
      <c r="D43" s="35"/>
      <c r="E43" s="35"/>
      <c r="F43" s="35"/>
      <c r="G43" s="35"/>
      <c r="H43" s="56"/>
      <c r="I43" s="56"/>
      <c r="J43" s="35"/>
      <c r="K43" s="35"/>
      <c r="L43" s="35"/>
      <c r="M43" s="35"/>
    </row>
    <row r="44" customFormat="false" ht="15" hidden="false" customHeight="true" outlineLevel="0" collapsed="false">
      <c r="A44" s="36"/>
      <c r="B44" s="35"/>
      <c r="C44" s="35"/>
      <c r="D44" s="35"/>
      <c r="E44" s="35"/>
      <c r="F44" s="35"/>
      <c r="G44" s="35"/>
      <c r="H44" s="56"/>
      <c r="I44" s="56"/>
      <c r="J44" s="35"/>
      <c r="K44" s="35"/>
      <c r="L44" s="35"/>
      <c r="M44" s="35"/>
    </row>
    <row r="45" customFormat="false" ht="15" hidden="false" customHeight="true" outlineLevel="0" collapsed="false">
      <c r="A45" s="36"/>
      <c r="B45" s="35"/>
      <c r="C45" s="35"/>
      <c r="D45" s="35"/>
      <c r="E45" s="35"/>
      <c r="F45" s="35"/>
      <c r="G45" s="35"/>
      <c r="H45" s="56"/>
      <c r="I45" s="56"/>
      <c r="J45" s="35"/>
      <c r="K45" s="35"/>
      <c r="L45" s="35"/>
      <c r="M45" s="35"/>
    </row>
    <row r="46" customFormat="false" ht="15" hidden="false" customHeight="true" outlineLevel="0" collapsed="false">
      <c r="A46" s="36"/>
      <c r="B46" s="35"/>
      <c r="C46" s="35"/>
      <c r="D46" s="35"/>
      <c r="E46" s="35"/>
      <c r="F46" s="35"/>
      <c r="G46" s="35"/>
      <c r="H46" s="56"/>
      <c r="I46" s="56"/>
      <c r="J46" s="35"/>
      <c r="K46" s="35"/>
      <c r="L46" s="35"/>
      <c r="M46" s="35"/>
    </row>
    <row r="47" customFormat="false" ht="15" hidden="false" customHeight="true" outlineLevel="0" collapsed="false">
      <c r="A47" s="36"/>
      <c r="B47" s="35"/>
      <c r="C47" s="35"/>
      <c r="D47" s="35"/>
      <c r="E47" s="35"/>
      <c r="F47" s="35"/>
      <c r="G47" s="35"/>
      <c r="H47" s="56"/>
      <c r="I47" s="56"/>
      <c r="J47" s="35"/>
      <c r="K47" s="35"/>
      <c r="L47" s="35"/>
      <c r="M47" s="35"/>
    </row>
    <row r="48" customFormat="false" ht="15" hidden="false" customHeight="true" outlineLevel="0" collapsed="false">
      <c r="A48" s="36"/>
      <c r="B48" s="35"/>
      <c r="C48" s="35"/>
      <c r="D48" s="35"/>
      <c r="E48" s="35"/>
      <c r="F48" s="35"/>
      <c r="G48" s="35"/>
      <c r="H48" s="56"/>
      <c r="I48" s="56"/>
      <c r="J48" s="35"/>
      <c r="K48" s="35"/>
      <c r="L48" s="35"/>
      <c r="M48" s="35"/>
    </row>
    <row r="49" customFormat="false" ht="15" hidden="false" customHeight="true" outlineLevel="0" collapsed="false">
      <c r="A49" s="36"/>
      <c r="B49" s="35"/>
      <c r="C49" s="35"/>
      <c r="D49" s="35"/>
      <c r="E49" s="35"/>
      <c r="F49" s="35"/>
      <c r="G49" s="35"/>
      <c r="H49" s="56"/>
      <c r="I49" s="56"/>
      <c r="J49" s="35"/>
      <c r="K49" s="35"/>
      <c r="L49" s="35"/>
      <c r="M49" s="35"/>
    </row>
    <row r="50" customFormat="false" ht="15" hidden="false" customHeight="true" outlineLevel="0" collapsed="false">
      <c r="A50" s="36"/>
      <c r="B50" s="35"/>
      <c r="C50" s="35"/>
      <c r="D50" s="35"/>
      <c r="E50" s="35"/>
      <c r="F50" s="35"/>
      <c r="G50" s="35"/>
      <c r="H50" s="56"/>
      <c r="I50" s="56"/>
      <c r="J50" s="35"/>
      <c r="K50" s="35"/>
      <c r="L50" s="35"/>
      <c r="M50" s="35"/>
    </row>
    <row r="51" customFormat="false" ht="15" hidden="false" customHeight="true" outlineLevel="0" collapsed="false">
      <c r="A51" s="36"/>
      <c r="B51" s="35"/>
      <c r="C51" s="35"/>
      <c r="D51" s="35"/>
      <c r="E51" s="35"/>
      <c r="F51" s="35"/>
      <c r="G51" s="35"/>
      <c r="H51" s="56"/>
      <c r="I51" s="56"/>
      <c r="J51" s="35"/>
      <c r="K51" s="35"/>
      <c r="L51" s="35"/>
      <c r="M51" s="35"/>
    </row>
    <row r="52" customFormat="false" ht="15" hidden="false" customHeight="true" outlineLevel="0" collapsed="false">
      <c r="A52" s="36"/>
      <c r="B52" s="35"/>
      <c r="C52" s="35"/>
      <c r="D52" s="35"/>
      <c r="E52" s="35"/>
      <c r="F52" s="35"/>
      <c r="G52" s="35"/>
      <c r="H52" s="56"/>
      <c r="I52" s="56"/>
      <c r="J52" s="35"/>
      <c r="K52" s="35"/>
      <c r="L52" s="35"/>
      <c r="M52" s="35"/>
    </row>
    <row r="53" customFormat="false" ht="15" hidden="false" customHeight="true" outlineLevel="0" collapsed="false">
      <c r="A53" s="36"/>
      <c r="B53" s="35"/>
      <c r="C53" s="35"/>
      <c r="D53" s="35"/>
      <c r="E53" s="35"/>
      <c r="F53" s="35"/>
      <c r="G53" s="35"/>
      <c r="H53" s="56"/>
      <c r="I53" s="56"/>
      <c r="J53" s="35"/>
      <c r="K53" s="35"/>
      <c r="L53" s="35"/>
      <c r="M53" s="35"/>
    </row>
    <row r="54" customFormat="false" ht="15" hidden="false" customHeight="true" outlineLevel="0" collapsed="false">
      <c r="A54" s="36"/>
      <c r="B54" s="35"/>
      <c r="C54" s="35"/>
      <c r="D54" s="35"/>
      <c r="E54" s="35"/>
      <c r="F54" s="35"/>
      <c r="G54" s="35"/>
      <c r="H54" s="56"/>
      <c r="I54" s="56"/>
      <c r="J54" s="35"/>
      <c r="K54" s="35"/>
      <c r="L54" s="35"/>
      <c r="M54" s="35"/>
    </row>
    <row r="55" customFormat="false" ht="15" hidden="false" customHeight="true" outlineLevel="0" collapsed="false">
      <c r="A55" s="36"/>
      <c r="B55" s="35"/>
      <c r="C55" s="35"/>
      <c r="D55" s="35"/>
      <c r="E55" s="35"/>
      <c r="F55" s="35"/>
      <c r="G55" s="35"/>
      <c r="H55" s="56"/>
      <c r="I55" s="56"/>
      <c r="J55" s="35"/>
      <c r="K55" s="35"/>
      <c r="L55" s="35"/>
      <c r="M55" s="35"/>
    </row>
    <row r="56" customFormat="false" ht="15" hidden="false" customHeight="true" outlineLevel="0" collapsed="false">
      <c r="A56" s="36"/>
      <c r="B56" s="35"/>
      <c r="C56" s="35"/>
      <c r="D56" s="35"/>
      <c r="E56" s="35"/>
      <c r="F56" s="35"/>
      <c r="G56" s="35"/>
      <c r="H56" s="56"/>
      <c r="I56" s="56"/>
      <c r="J56" s="35"/>
      <c r="K56" s="35"/>
      <c r="L56" s="35"/>
      <c r="M56" s="35"/>
    </row>
    <row r="57" customFormat="false" ht="15" hidden="false" customHeight="true" outlineLevel="0" collapsed="false">
      <c r="A57" s="36"/>
      <c r="B57" s="35"/>
      <c r="C57" s="35"/>
      <c r="D57" s="35"/>
      <c r="E57" s="35"/>
      <c r="F57" s="35"/>
      <c r="G57" s="35"/>
      <c r="H57" s="56"/>
      <c r="I57" s="56"/>
      <c r="J57" s="35"/>
      <c r="K57" s="35"/>
      <c r="L57" s="35"/>
      <c r="M57" s="35"/>
    </row>
    <row r="58" customFormat="false" ht="15" hidden="false" customHeight="true" outlineLevel="0" collapsed="false">
      <c r="A58" s="36"/>
      <c r="B58" s="35"/>
      <c r="C58" s="35"/>
      <c r="D58" s="35"/>
      <c r="E58" s="35"/>
      <c r="F58" s="35"/>
      <c r="G58" s="35"/>
      <c r="H58" s="56"/>
      <c r="I58" s="56"/>
      <c r="J58" s="35"/>
      <c r="K58" s="35"/>
      <c r="L58" s="35"/>
      <c r="M58" s="35"/>
    </row>
    <row r="59" customFormat="false" ht="15" hidden="false" customHeight="true" outlineLevel="0" collapsed="false">
      <c r="A59" s="36"/>
      <c r="B59" s="35"/>
      <c r="C59" s="35"/>
      <c r="D59" s="35"/>
      <c r="E59" s="35"/>
      <c r="F59" s="35"/>
      <c r="G59" s="35"/>
      <c r="H59" s="56"/>
      <c r="I59" s="56"/>
      <c r="J59" s="35"/>
      <c r="K59" s="35"/>
      <c r="L59" s="35"/>
      <c r="M59" s="35"/>
    </row>
    <row r="60" customFormat="false" ht="15" hidden="false" customHeight="true" outlineLevel="0" collapsed="false">
      <c r="A60" s="36"/>
      <c r="B60" s="35"/>
      <c r="C60" s="35"/>
      <c r="D60" s="35"/>
      <c r="E60" s="35"/>
      <c r="F60" s="35"/>
      <c r="G60" s="35"/>
      <c r="H60" s="56"/>
      <c r="I60" s="56"/>
      <c r="J60" s="35"/>
      <c r="K60" s="35"/>
      <c r="L60" s="35"/>
      <c r="M60" s="35"/>
    </row>
    <row r="61" customFormat="false" ht="15" hidden="false" customHeight="true" outlineLevel="0" collapsed="false">
      <c r="A61" s="36"/>
      <c r="B61" s="35"/>
      <c r="C61" s="35"/>
      <c r="D61" s="35"/>
      <c r="E61" s="35"/>
      <c r="F61" s="35"/>
      <c r="G61" s="35"/>
      <c r="H61" s="56"/>
      <c r="I61" s="56"/>
      <c r="J61" s="35"/>
      <c r="K61" s="35"/>
      <c r="L61" s="35"/>
      <c r="M61" s="35"/>
    </row>
    <row r="62" customFormat="false" ht="15" hidden="false" customHeight="true" outlineLevel="0" collapsed="false">
      <c r="A62" s="36"/>
      <c r="B62" s="35"/>
      <c r="C62" s="35"/>
      <c r="D62" s="35"/>
      <c r="E62" s="35"/>
      <c r="F62" s="35"/>
      <c r="G62" s="35"/>
      <c r="H62" s="56"/>
      <c r="I62" s="56"/>
      <c r="J62" s="35"/>
      <c r="K62" s="35"/>
      <c r="L62" s="35"/>
      <c r="M62" s="35"/>
    </row>
    <row r="63" customFormat="false" ht="15" hidden="false" customHeight="true" outlineLevel="0" collapsed="false">
      <c r="A63" s="36"/>
      <c r="B63" s="35"/>
      <c r="C63" s="35"/>
      <c r="D63" s="35"/>
      <c r="E63" s="35"/>
      <c r="F63" s="35"/>
      <c r="G63" s="35"/>
      <c r="H63" s="56"/>
      <c r="I63" s="56"/>
      <c r="J63" s="35"/>
      <c r="K63" s="35"/>
      <c r="L63" s="35"/>
      <c r="M63" s="35"/>
    </row>
    <row r="64" customFormat="false" ht="15" hidden="false" customHeight="true" outlineLevel="0" collapsed="false">
      <c r="A64" s="36"/>
      <c r="B64" s="35"/>
      <c r="C64" s="35"/>
      <c r="D64" s="35"/>
      <c r="E64" s="35"/>
      <c r="F64" s="35"/>
      <c r="G64" s="35"/>
      <c r="H64" s="56"/>
      <c r="I64" s="56"/>
      <c r="J64" s="35"/>
      <c r="K64" s="35"/>
      <c r="L64" s="35"/>
      <c r="M64" s="35"/>
    </row>
    <row r="65" customFormat="false" ht="15" hidden="false" customHeight="true" outlineLevel="0" collapsed="false">
      <c r="A65" s="36"/>
      <c r="B65" s="35"/>
      <c r="C65" s="35"/>
      <c r="D65" s="35"/>
      <c r="E65" s="35"/>
      <c r="F65" s="35"/>
      <c r="G65" s="35"/>
      <c r="H65" s="56"/>
      <c r="I65" s="56"/>
      <c r="J65" s="35"/>
      <c r="K65" s="35"/>
      <c r="L65" s="35"/>
      <c r="M65" s="35"/>
    </row>
    <row r="66" customFormat="false" ht="15" hidden="false" customHeight="true" outlineLevel="0" collapsed="false">
      <c r="A66" s="36"/>
      <c r="B66" s="35"/>
      <c r="C66" s="35"/>
      <c r="D66" s="35"/>
      <c r="E66" s="35"/>
      <c r="F66" s="35"/>
      <c r="G66" s="35"/>
      <c r="H66" s="56"/>
      <c r="I66" s="56"/>
      <c r="J66" s="35"/>
      <c r="K66" s="35"/>
      <c r="L66" s="35"/>
      <c r="M66" s="35"/>
    </row>
    <row r="67" customFormat="false" ht="15" hidden="false" customHeight="true" outlineLevel="0" collapsed="false">
      <c r="A67" s="36"/>
      <c r="B67" s="35"/>
      <c r="C67" s="35"/>
      <c r="D67" s="35"/>
      <c r="E67" s="35"/>
      <c r="F67" s="35"/>
      <c r="G67" s="35"/>
      <c r="H67" s="56"/>
      <c r="I67" s="56"/>
      <c r="J67" s="35"/>
      <c r="K67" s="35"/>
      <c r="L67" s="35"/>
      <c r="M67" s="35"/>
    </row>
    <row r="68" customFormat="false" ht="15" hidden="false" customHeight="true" outlineLevel="0" collapsed="false">
      <c r="A68" s="36"/>
      <c r="B68" s="35"/>
      <c r="C68" s="35"/>
      <c r="D68" s="35"/>
      <c r="E68" s="35"/>
      <c r="F68" s="35"/>
      <c r="G68" s="35"/>
      <c r="H68" s="56"/>
      <c r="I68" s="56"/>
      <c r="J68" s="35"/>
      <c r="K68" s="35"/>
      <c r="L68" s="35"/>
      <c r="M68" s="35"/>
    </row>
    <row r="69" customFormat="false" ht="15" hidden="false" customHeight="true" outlineLevel="0" collapsed="false">
      <c r="A69" s="36"/>
      <c r="B69" s="35"/>
      <c r="C69" s="35"/>
      <c r="D69" s="35"/>
      <c r="E69" s="35"/>
      <c r="F69" s="35"/>
      <c r="G69" s="35"/>
      <c r="H69" s="56"/>
      <c r="I69" s="56"/>
      <c r="J69" s="35"/>
      <c r="K69" s="35"/>
      <c r="L69" s="35"/>
      <c r="M69" s="35"/>
    </row>
    <row r="70" customFormat="false" ht="15" hidden="false" customHeight="true" outlineLevel="0" collapsed="false">
      <c r="A70" s="36"/>
      <c r="B70" s="35"/>
      <c r="C70" s="35"/>
      <c r="D70" s="35"/>
      <c r="E70" s="35"/>
      <c r="F70" s="35"/>
      <c r="G70" s="35"/>
      <c r="H70" s="56"/>
      <c r="I70" s="56"/>
      <c r="J70" s="35"/>
      <c r="K70" s="35"/>
      <c r="L70" s="35"/>
      <c r="M70" s="35"/>
    </row>
    <row r="71" customFormat="false" ht="15" hidden="false" customHeight="true" outlineLevel="0" collapsed="false">
      <c r="A71" s="36"/>
      <c r="B71" s="35"/>
      <c r="C71" s="35"/>
      <c r="D71" s="35"/>
      <c r="E71" s="35"/>
      <c r="F71" s="35"/>
      <c r="G71" s="35"/>
      <c r="H71" s="56"/>
      <c r="I71" s="56"/>
      <c r="J71" s="35"/>
      <c r="K71" s="35"/>
      <c r="L71" s="35"/>
      <c r="M71" s="35"/>
    </row>
    <row r="72" customFormat="false" ht="15" hidden="false" customHeight="true" outlineLevel="0" collapsed="false">
      <c r="A72" s="36"/>
      <c r="B72" s="35"/>
      <c r="C72" s="35"/>
      <c r="D72" s="35"/>
      <c r="E72" s="35"/>
      <c r="F72" s="35"/>
      <c r="G72" s="35"/>
      <c r="H72" s="56"/>
      <c r="I72" s="56"/>
      <c r="J72" s="35"/>
      <c r="K72" s="35"/>
      <c r="L72" s="35"/>
      <c r="M72" s="35"/>
    </row>
    <row r="73" customFormat="false" ht="15" hidden="false" customHeight="true" outlineLevel="0" collapsed="false">
      <c r="A73" s="36"/>
      <c r="B73" s="35"/>
      <c r="C73" s="35"/>
      <c r="D73" s="35"/>
      <c r="E73" s="35"/>
      <c r="F73" s="35"/>
      <c r="G73" s="35"/>
      <c r="H73" s="56"/>
      <c r="I73" s="56"/>
      <c r="J73" s="35"/>
      <c r="K73" s="35"/>
      <c r="L73" s="35"/>
      <c r="M73" s="35"/>
    </row>
    <row r="74" customFormat="false" ht="15" hidden="false" customHeight="true" outlineLevel="0" collapsed="false">
      <c r="A74" s="36"/>
      <c r="B74" s="35"/>
      <c r="C74" s="35"/>
      <c r="D74" s="35"/>
      <c r="E74" s="35"/>
      <c r="F74" s="35"/>
      <c r="G74" s="35"/>
      <c r="H74" s="56"/>
      <c r="I74" s="56"/>
      <c r="J74" s="35"/>
      <c r="K74" s="35"/>
      <c r="L74" s="35"/>
      <c r="M74" s="35"/>
    </row>
    <row r="75" customFormat="false" ht="15" hidden="false" customHeight="true" outlineLevel="0" collapsed="false">
      <c r="A75" s="36"/>
      <c r="B75" s="35"/>
      <c r="C75" s="35"/>
      <c r="D75" s="35"/>
      <c r="E75" s="35"/>
      <c r="F75" s="35"/>
      <c r="G75" s="35"/>
      <c r="H75" s="56"/>
      <c r="I75" s="56"/>
      <c r="J75" s="35"/>
      <c r="K75" s="35"/>
      <c r="L75" s="35"/>
      <c r="M75" s="35"/>
    </row>
    <row r="76" customFormat="false" ht="15" hidden="false" customHeight="true" outlineLevel="0" collapsed="false">
      <c r="A76" s="36"/>
      <c r="B76" s="35"/>
      <c r="C76" s="35"/>
      <c r="D76" s="35"/>
      <c r="E76" s="35"/>
      <c r="F76" s="35"/>
      <c r="G76" s="35"/>
      <c r="H76" s="56"/>
      <c r="I76" s="56"/>
      <c r="J76" s="35"/>
      <c r="K76" s="35"/>
      <c r="L76" s="35"/>
      <c r="M76" s="35"/>
    </row>
    <row r="77" customFormat="false" ht="15" hidden="false" customHeight="true" outlineLevel="0" collapsed="false">
      <c r="A77" s="36"/>
      <c r="B77" s="35"/>
      <c r="C77" s="35"/>
      <c r="D77" s="35"/>
      <c r="E77" s="35"/>
      <c r="F77" s="35"/>
      <c r="G77" s="35"/>
      <c r="H77" s="56"/>
      <c r="I77" s="56"/>
      <c r="J77" s="35"/>
      <c r="K77" s="35"/>
      <c r="L77" s="35"/>
      <c r="M77" s="35"/>
    </row>
    <row r="78" customFormat="false" ht="15" hidden="false" customHeight="true" outlineLevel="0" collapsed="false">
      <c r="A78" s="36"/>
      <c r="B78" s="35"/>
      <c r="C78" s="35"/>
      <c r="D78" s="35"/>
      <c r="E78" s="35"/>
      <c r="F78" s="35"/>
      <c r="G78" s="35"/>
      <c r="H78" s="56"/>
      <c r="I78" s="56"/>
      <c r="J78" s="35"/>
      <c r="K78" s="35"/>
      <c r="L78" s="35"/>
      <c r="M78" s="35"/>
    </row>
    <row r="79" customFormat="false" ht="15" hidden="false" customHeight="true" outlineLevel="0" collapsed="false">
      <c r="A79" s="36"/>
      <c r="B79" s="35"/>
      <c r="C79" s="35"/>
      <c r="D79" s="35"/>
      <c r="E79" s="35"/>
      <c r="F79" s="35"/>
      <c r="G79" s="35"/>
      <c r="H79" s="56"/>
      <c r="I79" s="56"/>
      <c r="J79" s="35"/>
      <c r="K79" s="35"/>
      <c r="L79" s="35"/>
      <c r="M79" s="35"/>
    </row>
    <row r="80" customFormat="false" ht="15" hidden="false" customHeight="true" outlineLevel="0" collapsed="false">
      <c r="A80" s="36"/>
      <c r="B80" s="35"/>
      <c r="C80" s="35"/>
      <c r="D80" s="35"/>
      <c r="E80" s="35"/>
      <c r="F80" s="35"/>
      <c r="G80" s="35"/>
      <c r="H80" s="56"/>
      <c r="I80" s="56"/>
      <c r="J80" s="35"/>
      <c r="K80" s="35"/>
      <c r="L80" s="35"/>
      <c r="M80" s="35"/>
    </row>
    <row r="81" customFormat="false" ht="15" hidden="false" customHeight="true" outlineLevel="0" collapsed="false">
      <c r="A81" s="36"/>
      <c r="B81" s="35"/>
      <c r="C81" s="35"/>
      <c r="D81" s="35"/>
      <c r="E81" s="35"/>
      <c r="F81" s="35"/>
      <c r="G81" s="35"/>
      <c r="H81" s="56"/>
      <c r="I81" s="56"/>
      <c r="J81" s="35"/>
      <c r="K81" s="35"/>
      <c r="L81" s="35"/>
      <c r="M81" s="35"/>
    </row>
    <row r="82" customFormat="false" ht="15" hidden="false" customHeight="true" outlineLevel="0" collapsed="false">
      <c r="A82" s="36"/>
      <c r="B82" s="35"/>
      <c r="C82" s="35"/>
      <c r="D82" s="35"/>
      <c r="E82" s="35"/>
      <c r="F82" s="35"/>
      <c r="G82" s="35"/>
      <c r="H82" s="56"/>
      <c r="I82" s="56"/>
      <c r="J82" s="35"/>
      <c r="K82" s="35"/>
      <c r="L82" s="35"/>
      <c r="M82" s="35"/>
    </row>
    <row r="83" customFormat="false" ht="15" hidden="false" customHeight="true" outlineLevel="0" collapsed="false">
      <c r="A83" s="36"/>
      <c r="B83" s="35"/>
      <c r="C83" s="35"/>
      <c r="D83" s="35"/>
      <c r="E83" s="35"/>
      <c r="F83" s="35"/>
      <c r="G83" s="35"/>
      <c r="H83" s="56"/>
      <c r="I83" s="56"/>
      <c r="J83" s="35"/>
      <c r="K83" s="35"/>
      <c r="L83" s="35"/>
      <c r="M83" s="35"/>
    </row>
    <row r="84" customFormat="false" ht="15" hidden="false" customHeight="true" outlineLevel="0" collapsed="false">
      <c r="A84" s="36"/>
      <c r="B84" s="35"/>
      <c r="C84" s="35"/>
      <c r="D84" s="35"/>
      <c r="E84" s="35"/>
      <c r="F84" s="35"/>
      <c r="G84" s="35"/>
      <c r="H84" s="56"/>
      <c r="I84" s="56"/>
      <c r="J84" s="35"/>
      <c r="K84" s="35"/>
      <c r="L84" s="35"/>
      <c r="M84" s="35"/>
    </row>
    <row r="85" customFormat="false" ht="15" hidden="false" customHeight="true" outlineLevel="0" collapsed="false">
      <c r="A85" s="36"/>
      <c r="B85" s="35"/>
      <c r="C85" s="35"/>
      <c r="D85" s="35"/>
      <c r="E85" s="35"/>
      <c r="F85" s="35"/>
      <c r="G85" s="35"/>
      <c r="H85" s="56"/>
      <c r="I85" s="56"/>
      <c r="J85" s="35"/>
      <c r="K85" s="35"/>
      <c r="L85" s="35"/>
      <c r="M85" s="35"/>
    </row>
    <row r="86" customFormat="false" ht="15" hidden="false" customHeight="true" outlineLevel="0" collapsed="false">
      <c r="A86" s="36"/>
      <c r="B86" s="35"/>
      <c r="C86" s="35"/>
      <c r="D86" s="35"/>
      <c r="E86" s="35"/>
      <c r="F86" s="35"/>
      <c r="G86" s="35"/>
      <c r="H86" s="56"/>
      <c r="I86" s="56"/>
      <c r="J86" s="35"/>
      <c r="K86" s="35"/>
      <c r="L86" s="35"/>
      <c r="M86" s="35"/>
    </row>
    <row r="87" customFormat="false" ht="15" hidden="false" customHeight="true" outlineLevel="0" collapsed="false">
      <c r="A87" s="36"/>
      <c r="B87" s="35"/>
      <c r="C87" s="35"/>
      <c r="D87" s="35"/>
      <c r="E87" s="35"/>
      <c r="F87" s="35"/>
      <c r="G87" s="35"/>
      <c r="H87" s="56"/>
      <c r="I87" s="56"/>
      <c r="J87" s="35"/>
      <c r="K87" s="35"/>
      <c r="L87" s="35"/>
      <c r="M87" s="35"/>
    </row>
    <row r="88" customFormat="false" ht="15" hidden="false" customHeight="true" outlineLevel="0" collapsed="false">
      <c r="A88" s="36"/>
      <c r="B88" s="35"/>
      <c r="C88" s="35"/>
      <c r="D88" s="35"/>
      <c r="E88" s="35"/>
      <c r="F88" s="35"/>
      <c r="G88" s="35"/>
      <c r="H88" s="56"/>
      <c r="I88" s="56"/>
      <c r="J88" s="35"/>
      <c r="K88" s="35"/>
      <c r="L88" s="35"/>
      <c r="M88" s="35"/>
    </row>
    <row r="89" customFormat="false" ht="15" hidden="false" customHeight="true" outlineLevel="0" collapsed="false">
      <c r="A89" s="36"/>
      <c r="B89" s="35"/>
      <c r="C89" s="35"/>
      <c r="D89" s="35"/>
      <c r="E89" s="35"/>
      <c r="F89" s="35"/>
      <c r="G89" s="35"/>
      <c r="H89" s="56"/>
      <c r="I89" s="56"/>
      <c r="J89" s="35"/>
      <c r="K89" s="35"/>
      <c r="L89" s="35"/>
      <c r="M89" s="35"/>
    </row>
    <row r="90" customFormat="false" ht="15" hidden="false" customHeight="true" outlineLevel="0" collapsed="false">
      <c r="A90" s="36"/>
      <c r="B90" s="35"/>
      <c r="C90" s="35"/>
      <c r="D90" s="35"/>
      <c r="E90" s="35"/>
      <c r="F90" s="35"/>
      <c r="G90" s="35"/>
      <c r="H90" s="56"/>
      <c r="I90" s="56"/>
      <c r="J90" s="35"/>
      <c r="K90" s="35"/>
      <c r="L90" s="35"/>
      <c r="M90" s="35"/>
    </row>
    <row r="91" customFormat="false" ht="15" hidden="false" customHeight="true" outlineLevel="0" collapsed="false">
      <c r="A91" s="36"/>
      <c r="B91" s="35"/>
      <c r="C91" s="35"/>
      <c r="D91" s="35"/>
      <c r="E91" s="35"/>
      <c r="F91" s="35"/>
      <c r="G91" s="35"/>
      <c r="H91" s="56"/>
      <c r="I91" s="56"/>
      <c r="J91" s="35"/>
      <c r="K91" s="35"/>
      <c r="L91" s="35"/>
      <c r="M91" s="35"/>
    </row>
    <row r="92" customFormat="false" ht="15" hidden="false" customHeight="true" outlineLevel="0" collapsed="false">
      <c r="A92" s="36"/>
      <c r="B92" s="35"/>
      <c r="C92" s="35"/>
      <c r="D92" s="35"/>
      <c r="E92" s="35"/>
      <c r="F92" s="35"/>
      <c r="G92" s="35"/>
      <c r="H92" s="56"/>
      <c r="I92" s="56"/>
      <c r="J92" s="35"/>
      <c r="K92" s="35"/>
      <c r="L92" s="35"/>
      <c r="M92" s="35"/>
    </row>
    <row r="93" customFormat="false" ht="15" hidden="false" customHeight="true" outlineLevel="0" collapsed="false">
      <c r="A93" s="36"/>
      <c r="B93" s="35"/>
      <c r="C93" s="35"/>
      <c r="D93" s="35"/>
      <c r="E93" s="35"/>
      <c r="F93" s="35"/>
      <c r="G93" s="35"/>
      <c r="H93" s="56"/>
      <c r="I93" s="56"/>
      <c r="J93" s="35"/>
      <c r="K93" s="35"/>
      <c r="L93" s="35"/>
      <c r="M93" s="35"/>
    </row>
    <row r="94" customFormat="false" ht="15" hidden="false" customHeight="true" outlineLevel="0" collapsed="false">
      <c r="A94" s="36"/>
      <c r="B94" s="35"/>
      <c r="C94" s="35"/>
      <c r="D94" s="35"/>
      <c r="E94" s="35"/>
      <c r="F94" s="35"/>
      <c r="G94" s="35"/>
      <c r="H94" s="56"/>
      <c r="I94" s="56"/>
      <c r="J94" s="35"/>
      <c r="K94" s="35"/>
      <c r="L94" s="35"/>
      <c r="M94" s="35"/>
    </row>
    <row r="95" customFormat="false" ht="15" hidden="false" customHeight="true" outlineLevel="0" collapsed="false">
      <c r="A95" s="36"/>
      <c r="B95" s="35"/>
      <c r="C95" s="35"/>
      <c r="D95" s="35"/>
      <c r="E95" s="35"/>
      <c r="F95" s="35"/>
      <c r="G95" s="35"/>
      <c r="H95" s="56"/>
      <c r="I95" s="56"/>
      <c r="J95" s="35"/>
      <c r="K95" s="35"/>
      <c r="L95" s="35"/>
      <c r="M95" s="35"/>
    </row>
    <row r="96" customFormat="false" ht="15" hidden="false" customHeight="true" outlineLevel="0" collapsed="false">
      <c r="A96" s="36"/>
      <c r="B96" s="35"/>
      <c r="C96" s="35"/>
      <c r="D96" s="35"/>
      <c r="E96" s="35"/>
      <c r="F96" s="35"/>
      <c r="G96" s="35"/>
      <c r="H96" s="56"/>
      <c r="I96" s="56"/>
      <c r="J96" s="35"/>
      <c r="K96" s="35"/>
      <c r="L96" s="35"/>
      <c r="M96" s="35"/>
    </row>
    <row r="97" customFormat="false" ht="15" hidden="false" customHeight="true" outlineLevel="0" collapsed="false">
      <c r="A97" s="36"/>
      <c r="B97" s="35"/>
      <c r="C97" s="35"/>
      <c r="D97" s="35"/>
      <c r="E97" s="35"/>
      <c r="F97" s="35"/>
      <c r="G97" s="35"/>
      <c r="H97" s="56"/>
      <c r="I97" s="56"/>
      <c r="J97" s="35"/>
      <c r="K97" s="35"/>
      <c r="L97" s="35"/>
      <c r="M97" s="35"/>
    </row>
    <row r="98" customFormat="false" ht="15" hidden="false" customHeight="true" outlineLevel="0" collapsed="false">
      <c r="A98" s="36"/>
      <c r="B98" s="35"/>
      <c r="C98" s="35"/>
      <c r="D98" s="35"/>
      <c r="E98" s="35"/>
      <c r="F98" s="35"/>
      <c r="G98" s="35"/>
      <c r="H98" s="56"/>
      <c r="I98" s="56"/>
      <c r="J98" s="35"/>
      <c r="K98" s="35"/>
      <c r="L98" s="35"/>
      <c r="M98" s="35"/>
    </row>
    <row r="99" customFormat="false" ht="15" hidden="false" customHeight="true" outlineLevel="0" collapsed="false">
      <c r="A99" s="36"/>
      <c r="B99" s="35"/>
      <c r="C99" s="35"/>
      <c r="D99" s="35"/>
      <c r="E99" s="35"/>
      <c r="F99" s="35"/>
      <c r="G99" s="35"/>
      <c r="H99" s="56"/>
      <c r="I99" s="56"/>
      <c r="J99" s="35"/>
      <c r="K99" s="35"/>
      <c r="L99" s="35"/>
      <c r="M99" s="35"/>
    </row>
    <row r="100" customFormat="false" ht="15" hidden="false" customHeight="true" outlineLevel="0" collapsed="false">
      <c r="A100" s="36"/>
      <c r="B100" s="35"/>
      <c r="C100" s="35"/>
      <c r="D100" s="35"/>
      <c r="E100" s="35"/>
      <c r="F100" s="35"/>
      <c r="G100" s="35"/>
      <c r="H100" s="56"/>
      <c r="I100" s="56"/>
      <c r="J100" s="35"/>
      <c r="K100" s="35"/>
      <c r="L100" s="35"/>
      <c r="M100" s="35"/>
    </row>
    <row r="101" customFormat="false" ht="15" hidden="false" customHeight="true" outlineLevel="0" collapsed="false">
      <c r="A101" s="36"/>
      <c r="B101" s="35"/>
      <c r="C101" s="35"/>
      <c r="D101" s="35"/>
      <c r="E101" s="35"/>
      <c r="F101" s="35"/>
      <c r="G101" s="35"/>
      <c r="H101" s="56"/>
      <c r="I101" s="56"/>
      <c r="J101" s="35"/>
      <c r="K101" s="35"/>
      <c r="L101" s="35"/>
      <c r="M101" s="35"/>
    </row>
    <row r="102" customFormat="false" ht="15" hidden="false" customHeight="true" outlineLevel="0" collapsed="false">
      <c r="A102" s="36"/>
      <c r="B102" s="35"/>
      <c r="C102" s="35"/>
      <c r="D102" s="35"/>
      <c r="E102" s="35"/>
      <c r="F102" s="35"/>
      <c r="G102" s="35"/>
      <c r="H102" s="56"/>
      <c r="I102" s="56"/>
      <c r="J102" s="35"/>
      <c r="K102" s="35"/>
      <c r="L102" s="35"/>
      <c r="M102" s="35"/>
    </row>
    <row r="103" customFormat="false" ht="15" hidden="false" customHeight="true" outlineLevel="0" collapsed="false">
      <c r="A103" s="36"/>
      <c r="B103" s="35"/>
      <c r="C103" s="35"/>
      <c r="D103" s="35"/>
      <c r="E103" s="35"/>
      <c r="F103" s="35"/>
      <c r="G103" s="35"/>
      <c r="H103" s="56"/>
      <c r="I103" s="56"/>
      <c r="J103" s="35"/>
      <c r="K103" s="35"/>
      <c r="L103" s="35"/>
      <c r="M103" s="35"/>
    </row>
    <row r="104" customFormat="false" ht="15" hidden="false" customHeight="true" outlineLevel="0" collapsed="false">
      <c r="A104" s="36"/>
      <c r="B104" s="35"/>
      <c r="C104" s="35"/>
      <c r="D104" s="35"/>
      <c r="E104" s="35"/>
      <c r="F104" s="35"/>
      <c r="G104" s="35"/>
      <c r="H104" s="56"/>
      <c r="I104" s="56"/>
      <c r="J104" s="35"/>
      <c r="K104" s="35"/>
      <c r="L104" s="35"/>
      <c r="M104" s="35"/>
    </row>
    <row r="105" customFormat="false" ht="15" hidden="false" customHeight="true" outlineLevel="0" collapsed="false">
      <c r="A105" s="36"/>
      <c r="B105" s="35"/>
      <c r="C105" s="35"/>
      <c r="D105" s="35"/>
      <c r="E105" s="35"/>
      <c r="F105" s="35"/>
      <c r="G105" s="35"/>
      <c r="H105" s="56"/>
      <c r="I105" s="56"/>
      <c r="J105" s="35"/>
      <c r="K105" s="35"/>
      <c r="L105" s="35"/>
      <c r="M105" s="35"/>
    </row>
    <row r="106" customFormat="false" ht="15" hidden="false" customHeight="true" outlineLevel="0" collapsed="false">
      <c r="A106" s="36"/>
      <c r="B106" s="35"/>
      <c r="C106" s="35"/>
      <c r="D106" s="35"/>
      <c r="E106" s="35"/>
      <c r="F106" s="35"/>
      <c r="G106" s="35"/>
      <c r="H106" s="56"/>
      <c r="I106" s="56"/>
      <c r="J106" s="35"/>
      <c r="K106" s="35"/>
      <c r="L106" s="35"/>
      <c r="M106" s="35"/>
    </row>
    <row r="107" customFormat="false" ht="15" hidden="false" customHeight="true" outlineLevel="0" collapsed="false">
      <c r="A107" s="36"/>
      <c r="B107" s="35"/>
      <c r="C107" s="35"/>
      <c r="D107" s="35"/>
      <c r="E107" s="35"/>
      <c r="F107" s="35"/>
      <c r="G107" s="35"/>
      <c r="H107" s="56"/>
      <c r="I107" s="56"/>
      <c r="J107" s="35"/>
      <c r="K107" s="35"/>
      <c r="L107" s="35"/>
      <c r="M107" s="35"/>
    </row>
    <row r="108" customFormat="false" ht="15" hidden="false" customHeight="true" outlineLevel="0" collapsed="false">
      <c r="A108" s="36"/>
      <c r="B108" s="35"/>
      <c r="C108" s="35"/>
      <c r="D108" s="35"/>
      <c r="E108" s="35"/>
      <c r="F108" s="35"/>
      <c r="G108" s="35"/>
      <c r="H108" s="56"/>
      <c r="I108" s="56"/>
      <c r="J108" s="35"/>
      <c r="K108" s="35"/>
      <c r="L108" s="35"/>
      <c r="M108" s="35"/>
    </row>
    <row r="109" customFormat="false" ht="15" hidden="false" customHeight="true" outlineLevel="0" collapsed="false">
      <c r="A109" s="36"/>
      <c r="B109" s="35"/>
      <c r="C109" s="35"/>
      <c r="D109" s="35"/>
      <c r="E109" s="35"/>
      <c r="F109" s="35"/>
      <c r="G109" s="35"/>
      <c r="H109" s="56"/>
      <c r="I109" s="56"/>
      <c r="J109" s="35"/>
      <c r="K109" s="35"/>
      <c r="L109" s="35"/>
      <c r="M109" s="35"/>
    </row>
    <row r="110" customFormat="false" ht="15" hidden="false" customHeight="true" outlineLevel="0" collapsed="false">
      <c r="A110" s="36"/>
      <c r="B110" s="35"/>
      <c r="C110" s="35"/>
      <c r="D110" s="35"/>
      <c r="E110" s="35"/>
      <c r="F110" s="35"/>
      <c r="G110" s="35"/>
      <c r="H110" s="56"/>
      <c r="I110" s="56"/>
      <c r="J110" s="35"/>
      <c r="K110" s="35"/>
      <c r="L110" s="35"/>
      <c r="M110" s="35"/>
    </row>
    <row r="111" customFormat="false" ht="15" hidden="false" customHeight="true" outlineLevel="0" collapsed="false">
      <c r="A111" s="36"/>
      <c r="B111" s="35"/>
      <c r="C111" s="35"/>
      <c r="D111" s="35"/>
      <c r="E111" s="35"/>
      <c r="F111" s="35"/>
      <c r="G111" s="35"/>
      <c r="H111" s="56"/>
      <c r="I111" s="56"/>
      <c r="J111" s="35"/>
      <c r="K111" s="35"/>
      <c r="L111" s="35"/>
      <c r="M111" s="35"/>
    </row>
    <row r="112" customFormat="false" ht="15" hidden="false" customHeight="true" outlineLevel="0" collapsed="false">
      <c r="A112" s="36"/>
      <c r="B112" s="35"/>
      <c r="C112" s="35"/>
      <c r="D112" s="35"/>
      <c r="E112" s="35"/>
      <c r="F112" s="35"/>
      <c r="G112" s="35"/>
      <c r="H112" s="56"/>
      <c r="I112" s="56"/>
      <c r="J112" s="35"/>
      <c r="K112" s="35"/>
      <c r="L112" s="35"/>
      <c r="M112" s="35"/>
    </row>
    <row r="113" customFormat="false" ht="15" hidden="false" customHeight="true" outlineLevel="0" collapsed="false">
      <c r="A113" s="36"/>
      <c r="B113" s="35"/>
      <c r="C113" s="35"/>
      <c r="D113" s="35"/>
      <c r="E113" s="35"/>
      <c r="F113" s="35"/>
      <c r="G113" s="35"/>
      <c r="H113" s="56"/>
      <c r="I113" s="56"/>
      <c r="J113" s="35"/>
      <c r="K113" s="35"/>
      <c r="L113" s="35"/>
      <c r="M113" s="35"/>
    </row>
    <row r="114" customFormat="false" ht="15" hidden="false" customHeight="true" outlineLevel="0" collapsed="false">
      <c r="A114" s="36"/>
      <c r="B114" s="35"/>
      <c r="C114" s="35"/>
      <c r="D114" s="35"/>
      <c r="E114" s="35"/>
      <c r="F114" s="35"/>
      <c r="G114" s="35"/>
      <c r="H114" s="56"/>
      <c r="I114" s="56"/>
      <c r="J114" s="35"/>
      <c r="K114" s="35"/>
      <c r="L114" s="35"/>
      <c r="M114" s="35"/>
    </row>
    <row r="115" customFormat="false" ht="15" hidden="false" customHeight="true" outlineLevel="0" collapsed="false">
      <c r="A115" s="36"/>
      <c r="B115" s="35"/>
      <c r="C115" s="35"/>
      <c r="D115" s="35"/>
      <c r="E115" s="35"/>
      <c r="F115" s="35"/>
      <c r="G115" s="35"/>
      <c r="H115" s="56"/>
      <c r="I115" s="56"/>
      <c r="J115" s="35"/>
      <c r="K115" s="35"/>
      <c r="L115" s="35"/>
      <c r="M115" s="35"/>
    </row>
    <row r="116" customFormat="false" ht="15" hidden="false" customHeight="true" outlineLevel="0" collapsed="false">
      <c r="A116" s="36"/>
      <c r="B116" s="35"/>
      <c r="C116" s="35"/>
      <c r="D116" s="35"/>
      <c r="E116" s="35"/>
      <c r="F116" s="35"/>
      <c r="G116" s="35"/>
      <c r="H116" s="56"/>
      <c r="I116" s="56"/>
      <c r="J116" s="35"/>
      <c r="K116" s="35"/>
      <c r="L116" s="35"/>
      <c r="M116" s="35"/>
    </row>
    <row r="117" customFormat="false" ht="15" hidden="false" customHeight="true" outlineLevel="0" collapsed="false">
      <c r="A117" s="36"/>
      <c r="B117" s="35"/>
      <c r="C117" s="35"/>
      <c r="D117" s="35"/>
      <c r="E117" s="35"/>
      <c r="F117" s="35"/>
      <c r="G117" s="35"/>
      <c r="H117" s="56"/>
      <c r="I117" s="56"/>
      <c r="J117" s="35"/>
      <c r="K117" s="35"/>
      <c r="L117" s="35"/>
      <c r="M117" s="35"/>
    </row>
    <row r="118" customFormat="false" ht="15" hidden="false" customHeight="true" outlineLevel="0" collapsed="false">
      <c r="A118" s="36"/>
      <c r="B118" s="35"/>
      <c r="C118" s="35"/>
      <c r="D118" s="35"/>
      <c r="E118" s="35"/>
      <c r="F118" s="35"/>
      <c r="G118" s="35"/>
      <c r="H118" s="56"/>
      <c r="I118" s="56"/>
      <c r="J118" s="35"/>
      <c r="K118" s="35"/>
      <c r="L118" s="35"/>
      <c r="M118" s="35"/>
    </row>
    <row r="119" customFormat="false" ht="15" hidden="false" customHeight="true" outlineLevel="0" collapsed="false">
      <c r="A119" s="36"/>
      <c r="B119" s="35"/>
      <c r="C119" s="35"/>
      <c r="D119" s="35"/>
      <c r="E119" s="35"/>
      <c r="F119" s="35"/>
      <c r="G119" s="35"/>
      <c r="H119" s="56"/>
      <c r="I119" s="56"/>
      <c r="J119" s="35"/>
      <c r="K119" s="35"/>
      <c r="L119" s="35"/>
      <c r="M119" s="35"/>
    </row>
    <row r="120" customFormat="false" ht="15" hidden="false" customHeight="true" outlineLevel="0" collapsed="false">
      <c r="A120" s="36"/>
      <c r="B120" s="35"/>
      <c r="C120" s="35"/>
      <c r="D120" s="35"/>
      <c r="E120" s="35"/>
      <c r="F120" s="35"/>
      <c r="G120" s="35"/>
      <c r="H120" s="56"/>
      <c r="I120" s="56"/>
      <c r="J120" s="35"/>
      <c r="K120" s="35"/>
      <c r="L120" s="35"/>
      <c r="M120" s="35"/>
    </row>
    <row r="121" customFormat="false" ht="15" hidden="false" customHeight="true" outlineLevel="0" collapsed="false">
      <c r="A121" s="36"/>
      <c r="B121" s="35"/>
      <c r="C121" s="35"/>
      <c r="D121" s="35"/>
      <c r="E121" s="35"/>
      <c r="F121" s="35"/>
      <c r="G121" s="35"/>
      <c r="H121" s="56"/>
      <c r="I121" s="56"/>
      <c r="J121" s="35"/>
      <c r="K121" s="35"/>
      <c r="L121" s="35"/>
      <c r="M121" s="35"/>
    </row>
    <row r="122" customFormat="false" ht="15" hidden="false" customHeight="true" outlineLevel="0" collapsed="false">
      <c r="A122" s="36"/>
      <c r="B122" s="35"/>
      <c r="C122" s="35"/>
      <c r="D122" s="35"/>
      <c r="E122" s="35"/>
      <c r="F122" s="35"/>
      <c r="G122" s="35"/>
      <c r="H122" s="56"/>
      <c r="I122" s="56"/>
      <c r="J122" s="35"/>
      <c r="K122" s="35"/>
      <c r="L122" s="35"/>
      <c r="M122" s="35"/>
    </row>
    <row r="123" customFormat="false" ht="15" hidden="false" customHeight="true" outlineLevel="0" collapsed="false">
      <c r="A123" s="36"/>
      <c r="B123" s="35"/>
      <c r="C123" s="35"/>
      <c r="D123" s="35"/>
      <c r="E123" s="35"/>
      <c r="F123" s="35"/>
      <c r="G123" s="35"/>
      <c r="H123" s="56"/>
      <c r="I123" s="56"/>
      <c r="J123" s="35"/>
      <c r="K123" s="35"/>
      <c r="L123" s="35"/>
      <c r="M123" s="35"/>
    </row>
    <row r="124" customFormat="false" ht="15" hidden="false" customHeight="true" outlineLevel="0" collapsed="false">
      <c r="A124" s="36"/>
      <c r="B124" s="35"/>
      <c r="C124" s="35"/>
      <c r="D124" s="35"/>
      <c r="E124" s="35"/>
      <c r="F124" s="35"/>
      <c r="G124" s="35"/>
      <c r="H124" s="56"/>
      <c r="I124" s="56"/>
      <c r="J124" s="35"/>
      <c r="K124" s="35"/>
      <c r="L124" s="35"/>
      <c r="M124" s="35"/>
    </row>
    <row r="125" customFormat="false" ht="15" hidden="false" customHeight="true" outlineLevel="0" collapsed="false">
      <c r="A125" s="36"/>
      <c r="B125" s="35"/>
      <c r="C125" s="35"/>
      <c r="D125" s="35"/>
      <c r="E125" s="35"/>
      <c r="F125" s="35"/>
      <c r="G125" s="35"/>
      <c r="H125" s="56"/>
      <c r="I125" s="56"/>
      <c r="J125" s="35"/>
      <c r="K125" s="35"/>
      <c r="L125" s="35"/>
      <c r="M125" s="35"/>
    </row>
    <row r="126" customFormat="false" ht="15" hidden="false" customHeight="true" outlineLevel="0" collapsed="false">
      <c r="A126" s="36"/>
      <c r="B126" s="35"/>
      <c r="C126" s="35"/>
      <c r="D126" s="35"/>
      <c r="E126" s="35"/>
      <c r="F126" s="35"/>
      <c r="G126" s="35"/>
      <c r="H126" s="56"/>
      <c r="I126" s="56"/>
      <c r="J126" s="35"/>
      <c r="K126" s="35"/>
      <c r="L126" s="35"/>
      <c r="M126" s="35"/>
    </row>
    <row r="127" customFormat="false" ht="15" hidden="false" customHeight="true" outlineLevel="0" collapsed="false">
      <c r="A127" s="36"/>
      <c r="B127" s="35"/>
      <c r="C127" s="35"/>
      <c r="D127" s="35"/>
      <c r="E127" s="35"/>
      <c r="F127" s="35"/>
      <c r="G127" s="35"/>
      <c r="H127" s="56"/>
      <c r="I127" s="56"/>
      <c r="J127" s="35"/>
      <c r="K127" s="35"/>
      <c r="L127" s="35"/>
      <c r="M127" s="35"/>
    </row>
    <row r="128" customFormat="false" ht="15" hidden="false" customHeight="true" outlineLevel="0" collapsed="false">
      <c r="A128" s="36"/>
      <c r="B128" s="35"/>
      <c r="C128" s="35"/>
      <c r="D128" s="35"/>
      <c r="E128" s="35"/>
      <c r="F128" s="35"/>
      <c r="G128" s="35"/>
      <c r="H128" s="56"/>
      <c r="I128" s="56"/>
      <c r="J128" s="35"/>
      <c r="K128" s="35"/>
      <c r="L128" s="35"/>
      <c r="M128" s="35"/>
    </row>
    <row r="129" customFormat="false" ht="15" hidden="false" customHeight="true" outlineLevel="0" collapsed="false">
      <c r="A129" s="36"/>
      <c r="B129" s="35"/>
      <c r="C129" s="35"/>
      <c r="D129" s="35"/>
      <c r="E129" s="35"/>
      <c r="F129" s="35"/>
      <c r="G129" s="35"/>
      <c r="H129" s="56"/>
      <c r="I129" s="56"/>
      <c r="J129" s="35"/>
      <c r="K129" s="35"/>
      <c r="L129" s="35"/>
      <c r="M129" s="35"/>
    </row>
    <row r="130" customFormat="false" ht="15" hidden="false" customHeight="true" outlineLevel="0" collapsed="false">
      <c r="A130" s="36"/>
      <c r="B130" s="35"/>
      <c r="C130" s="35"/>
      <c r="D130" s="35"/>
      <c r="E130" s="35"/>
      <c r="F130" s="35"/>
      <c r="G130" s="35"/>
      <c r="H130" s="56"/>
      <c r="I130" s="56"/>
      <c r="J130" s="35"/>
      <c r="K130" s="35"/>
      <c r="L130" s="35"/>
      <c r="M130" s="35"/>
    </row>
    <row r="131" customFormat="false" ht="15" hidden="false" customHeight="true" outlineLevel="0" collapsed="false">
      <c r="A131" s="36"/>
      <c r="B131" s="35"/>
      <c r="C131" s="35"/>
      <c r="D131" s="35"/>
      <c r="E131" s="35"/>
      <c r="F131" s="35"/>
      <c r="G131" s="35"/>
      <c r="H131" s="56"/>
      <c r="I131" s="56"/>
      <c r="J131" s="35"/>
      <c r="K131" s="35"/>
      <c r="L131" s="35"/>
      <c r="M131" s="35"/>
    </row>
    <row r="132" customFormat="false" ht="15" hidden="false" customHeight="true" outlineLevel="0" collapsed="false">
      <c r="A132" s="36"/>
      <c r="B132" s="35"/>
      <c r="C132" s="35"/>
      <c r="D132" s="35"/>
      <c r="E132" s="35"/>
      <c r="F132" s="35"/>
      <c r="G132" s="35"/>
      <c r="H132" s="56"/>
      <c r="I132" s="56"/>
      <c r="J132" s="35"/>
      <c r="K132" s="35"/>
      <c r="L132" s="35"/>
      <c r="M132" s="35"/>
    </row>
    <row r="133" customFormat="false" ht="15" hidden="false" customHeight="true" outlineLevel="0" collapsed="false">
      <c r="A133" s="36"/>
      <c r="B133" s="35"/>
      <c r="C133" s="35"/>
      <c r="D133" s="35"/>
      <c r="E133" s="35"/>
      <c r="F133" s="35"/>
      <c r="G133" s="35"/>
      <c r="H133" s="56"/>
      <c r="I133" s="56"/>
      <c r="J133" s="35"/>
      <c r="K133" s="35"/>
      <c r="L133" s="35"/>
      <c r="M133" s="35"/>
    </row>
    <row r="134" customFormat="false" ht="15" hidden="false" customHeight="true" outlineLevel="0" collapsed="false">
      <c r="A134" s="36"/>
      <c r="B134" s="35"/>
      <c r="C134" s="35"/>
      <c r="D134" s="35"/>
      <c r="E134" s="35"/>
      <c r="F134" s="35"/>
      <c r="G134" s="35"/>
      <c r="H134" s="56"/>
      <c r="I134" s="56"/>
      <c r="J134" s="35"/>
      <c r="K134" s="35"/>
      <c r="L134" s="35"/>
      <c r="M134" s="35"/>
    </row>
    <row r="135" customFormat="false" ht="15" hidden="false" customHeight="true" outlineLevel="0" collapsed="false">
      <c r="A135" s="36"/>
      <c r="B135" s="35"/>
      <c r="C135" s="35"/>
      <c r="D135" s="35"/>
      <c r="E135" s="35"/>
      <c r="F135" s="35"/>
      <c r="G135" s="35"/>
      <c r="H135" s="56"/>
      <c r="I135" s="56"/>
      <c r="J135" s="35"/>
      <c r="K135" s="35"/>
      <c r="L135" s="35"/>
      <c r="M135" s="35"/>
    </row>
    <row r="136" customFormat="false" ht="15" hidden="false" customHeight="true" outlineLevel="0" collapsed="false">
      <c r="A136" s="36"/>
      <c r="B136" s="35"/>
      <c r="C136" s="35"/>
      <c r="D136" s="35"/>
      <c r="E136" s="35"/>
      <c r="F136" s="35"/>
      <c r="G136" s="35"/>
      <c r="H136" s="56"/>
      <c r="I136" s="56"/>
      <c r="J136" s="35"/>
      <c r="K136" s="35"/>
      <c r="L136" s="35"/>
      <c r="M136" s="35"/>
    </row>
    <row r="137" customFormat="false" ht="15" hidden="false" customHeight="true" outlineLevel="0" collapsed="false">
      <c r="A137" s="36"/>
      <c r="B137" s="35"/>
      <c r="C137" s="35"/>
      <c r="D137" s="35"/>
      <c r="E137" s="35"/>
      <c r="F137" s="35"/>
      <c r="G137" s="35"/>
      <c r="H137" s="56"/>
      <c r="I137" s="56"/>
      <c r="J137" s="35"/>
      <c r="K137" s="35"/>
      <c r="L137" s="35"/>
      <c r="M137" s="35"/>
    </row>
    <row r="138" customFormat="false" ht="15" hidden="false" customHeight="true" outlineLevel="0" collapsed="false">
      <c r="A138" s="36"/>
      <c r="B138" s="35"/>
      <c r="C138" s="35"/>
      <c r="D138" s="35"/>
      <c r="E138" s="35"/>
      <c r="F138" s="35"/>
      <c r="G138" s="35"/>
      <c r="H138" s="56"/>
      <c r="I138" s="56"/>
      <c r="J138" s="35"/>
      <c r="K138" s="35"/>
      <c r="L138" s="35"/>
      <c r="M138" s="35"/>
    </row>
    <row r="139" customFormat="false" ht="15" hidden="false" customHeight="true" outlineLevel="0" collapsed="false">
      <c r="A139" s="36"/>
      <c r="B139" s="35"/>
      <c r="C139" s="35"/>
      <c r="D139" s="35"/>
      <c r="E139" s="35"/>
      <c r="F139" s="35"/>
      <c r="G139" s="35"/>
      <c r="H139" s="56"/>
      <c r="I139" s="56"/>
      <c r="J139" s="35"/>
      <c r="K139" s="35"/>
      <c r="L139" s="35"/>
      <c r="M139" s="35"/>
    </row>
    <row r="140" customFormat="false" ht="15" hidden="false" customHeight="true" outlineLevel="0" collapsed="false">
      <c r="A140" s="36"/>
      <c r="B140" s="35"/>
      <c r="C140" s="35"/>
      <c r="D140" s="35"/>
      <c r="E140" s="35"/>
      <c r="F140" s="35"/>
      <c r="G140" s="35"/>
      <c r="H140" s="56"/>
      <c r="I140" s="56"/>
      <c r="J140" s="35"/>
      <c r="K140" s="35"/>
      <c r="L140" s="35"/>
      <c r="M140" s="35"/>
    </row>
    <row r="141" customFormat="false" ht="15" hidden="false" customHeight="true" outlineLevel="0" collapsed="false">
      <c r="A141" s="36"/>
      <c r="B141" s="35"/>
      <c r="C141" s="35"/>
      <c r="D141" s="35"/>
      <c r="E141" s="35"/>
      <c r="F141" s="35"/>
      <c r="G141" s="35"/>
      <c r="H141" s="56"/>
      <c r="I141" s="56"/>
      <c r="J141" s="35"/>
      <c r="K141" s="35"/>
      <c r="L141" s="35"/>
      <c r="M141" s="35"/>
    </row>
    <row r="142" customFormat="false" ht="15" hidden="false" customHeight="true" outlineLevel="0" collapsed="false">
      <c r="A142" s="36"/>
      <c r="B142" s="35"/>
      <c r="C142" s="35"/>
      <c r="D142" s="35"/>
      <c r="E142" s="35"/>
      <c r="F142" s="35"/>
      <c r="G142" s="35"/>
      <c r="H142" s="56"/>
      <c r="I142" s="56"/>
      <c r="J142" s="35"/>
      <c r="K142" s="35"/>
      <c r="L142" s="35"/>
      <c r="M142" s="35"/>
    </row>
    <row r="143" customFormat="false" ht="15" hidden="false" customHeight="true" outlineLevel="0" collapsed="false">
      <c r="A143" s="36"/>
      <c r="B143" s="35"/>
      <c r="C143" s="35"/>
      <c r="D143" s="35"/>
      <c r="E143" s="35"/>
      <c r="F143" s="35"/>
      <c r="G143" s="35"/>
      <c r="H143" s="56"/>
      <c r="I143" s="56"/>
      <c r="J143" s="35"/>
      <c r="K143" s="35"/>
      <c r="L143" s="35"/>
      <c r="M143" s="35"/>
    </row>
    <row r="144" customFormat="false" ht="15" hidden="false" customHeight="true" outlineLevel="0" collapsed="false">
      <c r="A144" s="36"/>
      <c r="B144" s="35"/>
      <c r="C144" s="35"/>
      <c r="D144" s="35"/>
      <c r="E144" s="35"/>
      <c r="F144" s="35"/>
      <c r="G144" s="35"/>
      <c r="H144" s="56"/>
      <c r="I144" s="56"/>
      <c r="J144" s="35"/>
      <c r="K144" s="35"/>
      <c r="L144" s="35"/>
      <c r="M144" s="35"/>
    </row>
    <row r="145" customFormat="false" ht="15" hidden="false" customHeight="true" outlineLevel="0" collapsed="false">
      <c r="A145" s="36"/>
      <c r="B145" s="35"/>
      <c r="C145" s="35"/>
      <c r="D145" s="35"/>
      <c r="E145" s="35"/>
      <c r="F145" s="35"/>
      <c r="G145" s="35"/>
      <c r="H145" s="56"/>
      <c r="I145" s="56"/>
      <c r="J145" s="35"/>
      <c r="K145" s="35"/>
      <c r="L145" s="35"/>
      <c r="M145" s="35"/>
    </row>
    <row r="146" customFormat="false" ht="15" hidden="false" customHeight="true" outlineLevel="0" collapsed="false">
      <c r="A146" s="36"/>
      <c r="B146" s="35"/>
      <c r="C146" s="35"/>
      <c r="D146" s="35"/>
      <c r="E146" s="35"/>
      <c r="F146" s="35"/>
      <c r="G146" s="35"/>
      <c r="H146" s="56"/>
      <c r="I146" s="56"/>
      <c r="J146" s="35"/>
      <c r="K146" s="35"/>
      <c r="L146" s="35"/>
      <c r="M146" s="35"/>
    </row>
    <row r="147" customFormat="false" ht="15" hidden="false" customHeight="true" outlineLevel="0" collapsed="false">
      <c r="A147" s="36"/>
      <c r="B147" s="35"/>
      <c r="C147" s="35"/>
      <c r="D147" s="35"/>
      <c r="E147" s="35"/>
      <c r="F147" s="35"/>
      <c r="G147" s="35"/>
      <c r="H147" s="56"/>
      <c r="I147" s="56"/>
      <c r="J147" s="35"/>
      <c r="K147" s="35"/>
      <c r="L147" s="35"/>
      <c r="M147" s="35"/>
    </row>
    <row r="148" customFormat="false" ht="15" hidden="false" customHeight="true" outlineLevel="0" collapsed="false">
      <c r="A148" s="36"/>
      <c r="B148" s="35"/>
      <c r="C148" s="35"/>
      <c r="D148" s="35"/>
      <c r="E148" s="35"/>
      <c r="F148" s="35"/>
      <c r="G148" s="35"/>
      <c r="H148" s="56"/>
      <c r="I148" s="56"/>
      <c r="J148" s="35"/>
      <c r="K148" s="35"/>
      <c r="L148" s="35"/>
      <c r="M148" s="35"/>
    </row>
    <row r="149" customFormat="false" ht="15" hidden="false" customHeight="true" outlineLevel="0" collapsed="false">
      <c r="A149" s="36"/>
      <c r="B149" s="35"/>
      <c r="C149" s="35"/>
      <c r="D149" s="35"/>
      <c r="E149" s="35"/>
      <c r="F149" s="35"/>
      <c r="G149" s="35"/>
      <c r="H149" s="56"/>
      <c r="I149" s="56"/>
      <c r="J149" s="35"/>
      <c r="K149" s="35"/>
      <c r="L149" s="35"/>
      <c r="M149" s="35"/>
    </row>
    <row r="150" customFormat="false" ht="15" hidden="false" customHeight="true" outlineLevel="0" collapsed="false">
      <c r="A150" s="36"/>
      <c r="B150" s="35"/>
      <c r="C150" s="35"/>
      <c r="D150" s="35"/>
      <c r="E150" s="35"/>
      <c r="F150" s="35"/>
      <c r="G150" s="35"/>
      <c r="H150" s="56"/>
      <c r="I150" s="56"/>
      <c r="J150" s="35"/>
      <c r="K150" s="35"/>
      <c r="L150" s="35"/>
      <c r="M150" s="35"/>
    </row>
    <row r="151" customFormat="false" ht="15" hidden="false" customHeight="true" outlineLevel="0" collapsed="false">
      <c r="A151" s="36"/>
      <c r="B151" s="35"/>
      <c r="C151" s="35"/>
      <c r="D151" s="35"/>
      <c r="E151" s="35"/>
      <c r="F151" s="35"/>
      <c r="G151" s="35"/>
      <c r="H151" s="56"/>
      <c r="I151" s="56"/>
      <c r="J151" s="35"/>
      <c r="K151" s="35"/>
      <c r="L151" s="35"/>
      <c r="M151" s="35"/>
    </row>
    <row r="152" customFormat="false" ht="15" hidden="false" customHeight="true" outlineLevel="0" collapsed="false">
      <c r="A152" s="36"/>
      <c r="B152" s="35"/>
      <c r="C152" s="35"/>
      <c r="D152" s="35"/>
      <c r="E152" s="35"/>
      <c r="F152" s="35"/>
      <c r="G152" s="35"/>
      <c r="H152" s="56"/>
      <c r="I152" s="56"/>
      <c r="J152" s="35"/>
      <c r="K152" s="35"/>
      <c r="L152" s="35"/>
      <c r="M152" s="35"/>
    </row>
    <row r="153" customFormat="false" ht="15" hidden="false" customHeight="true" outlineLevel="0" collapsed="false">
      <c r="A153" s="36"/>
      <c r="B153" s="35"/>
      <c r="C153" s="35"/>
      <c r="D153" s="35"/>
      <c r="E153" s="35"/>
      <c r="F153" s="35"/>
      <c r="G153" s="35"/>
      <c r="H153" s="56"/>
      <c r="I153" s="56"/>
      <c r="J153" s="35"/>
      <c r="K153" s="35"/>
      <c r="L153" s="35"/>
      <c r="M153" s="35"/>
    </row>
    <row r="154" customFormat="false" ht="15" hidden="false" customHeight="true" outlineLevel="0" collapsed="false">
      <c r="A154" s="36"/>
      <c r="B154" s="35"/>
      <c r="C154" s="35"/>
      <c r="D154" s="35"/>
      <c r="E154" s="35"/>
      <c r="F154" s="35"/>
      <c r="G154" s="35"/>
      <c r="H154" s="56"/>
      <c r="I154" s="56"/>
      <c r="J154" s="35"/>
      <c r="K154" s="35"/>
      <c r="L154" s="35"/>
      <c r="M154" s="35"/>
    </row>
    <row r="155" customFormat="false" ht="15" hidden="false" customHeight="true" outlineLevel="0" collapsed="false">
      <c r="A155" s="36"/>
      <c r="B155" s="35"/>
      <c r="C155" s="35"/>
      <c r="D155" s="35"/>
      <c r="E155" s="35"/>
      <c r="F155" s="35"/>
      <c r="G155" s="35"/>
      <c r="H155" s="56"/>
      <c r="I155" s="56"/>
      <c r="J155" s="35"/>
      <c r="K155" s="35"/>
      <c r="L155" s="35"/>
      <c r="M155" s="35"/>
    </row>
    <row r="156" customFormat="false" ht="15" hidden="false" customHeight="true" outlineLevel="0" collapsed="false">
      <c r="A156" s="36"/>
      <c r="B156" s="35"/>
      <c r="C156" s="35"/>
      <c r="D156" s="35"/>
      <c r="E156" s="35"/>
      <c r="F156" s="35"/>
      <c r="G156" s="35"/>
      <c r="H156" s="56"/>
      <c r="I156" s="56"/>
      <c r="J156" s="35"/>
      <c r="K156" s="35"/>
      <c r="L156" s="35"/>
      <c r="M156" s="35"/>
    </row>
    <row r="157" customFormat="false" ht="15" hidden="false" customHeight="true" outlineLevel="0" collapsed="false">
      <c r="A157" s="36"/>
      <c r="B157" s="35"/>
      <c r="C157" s="35"/>
      <c r="D157" s="35"/>
      <c r="E157" s="35"/>
      <c r="F157" s="35"/>
      <c r="G157" s="35"/>
      <c r="H157" s="56"/>
      <c r="I157" s="56"/>
      <c r="J157" s="35"/>
      <c r="K157" s="35"/>
      <c r="L157" s="35"/>
      <c r="M157" s="35"/>
    </row>
    <row r="158" customFormat="false" ht="15" hidden="false" customHeight="true" outlineLevel="0" collapsed="false">
      <c r="A158" s="36"/>
      <c r="B158" s="35"/>
      <c r="C158" s="35"/>
      <c r="D158" s="35"/>
      <c r="E158" s="35"/>
      <c r="F158" s="35"/>
      <c r="G158" s="35"/>
      <c r="H158" s="56"/>
      <c r="I158" s="56"/>
      <c r="J158" s="35"/>
      <c r="K158" s="35"/>
      <c r="L158" s="35"/>
      <c r="M158" s="35"/>
    </row>
    <row r="159" customFormat="false" ht="15" hidden="false" customHeight="true" outlineLevel="0" collapsed="false">
      <c r="A159" s="36"/>
      <c r="B159" s="35"/>
      <c r="C159" s="35"/>
      <c r="D159" s="35"/>
      <c r="E159" s="35"/>
      <c r="F159" s="35"/>
      <c r="G159" s="35"/>
      <c r="H159" s="56"/>
      <c r="I159" s="56"/>
      <c r="J159" s="35"/>
      <c r="K159" s="35"/>
      <c r="L159" s="35"/>
      <c r="M159" s="35"/>
    </row>
    <row r="160" customFormat="false" ht="15" hidden="false" customHeight="true" outlineLevel="0" collapsed="false">
      <c r="A160" s="36"/>
      <c r="B160" s="35"/>
      <c r="C160" s="35"/>
      <c r="D160" s="35"/>
      <c r="E160" s="35"/>
      <c r="F160" s="35"/>
      <c r="G160" s="35"/>
      <c r="H160" s="56"/>
      <c r="I160" s="56"/>
      <c r="J160" s="35"/>
      <c r="K160" s="35"/>
      <c r="L160" s="35"/>
      <c r="M160" s="35"/>
    </row>
    <row r="161" customFormat="false" ht="15" hidden="false" customHeight="true" outlineLevel="0" collapsed="false">
      <c r="A161" s="36"/>
      <c r="B161" s="35"/>
      <c r="C161" s="35"/>
      <c r="D161" s="35"/>
      <c r="E161" s="35"/>
      <c r="F161" s="35"/>
      <c r="G161" s="35"/>
      <c r="H161" s="56"/>
      <c r="I161" s="56"/>
      <c r="J161" s="35"/>
      <c r="K161" s="35"/>
      <c r="L161" s="35"/>
      <c r="M161" s="35"/>
    </row>
    <row r="162" customFormat="false" ht="15" hidden="false" customHeight="true" outlineLevel="0" collapsed="false">
      <c r="A162" s="36"/>
      <c r="B162" s="35"/>
      <c r="C162" s="35"/>
      <c r="D162" s="35"/>
      <c r="E162" s="35"/>
      <c r="F162" s="35"/>
      <c r="G162" s="35"/>
      <c r="H162" s="56"/>
      <c r="I162" s="56"/>
      <c r="J162" s="35"/>
      <c r="K162" s="35"/>
      <c r="L162" s="35"/>
      <c r="M162" s="35"/>
    </row>
    <row r="163" customFormat="false" ht="15" hidden="false" customHeight="true" outlineLevel="0" collapsed="false">
      <c r="A163" s="36"/>
      <c r="B163" s="35"/>
      <c r="C163" s="35"/>
      <c r="D163" s="35"/>
      <c r="E163" s="35"/>
      <c r="F163" s="35"/>
      <c r="G163" s="35"/>
      <c r="H163" s="56"/>
      <c r="I163" s="56"/>
      <c r="J163" s="35"/>
      <c r="K163" s="35"/>
      <c r="L163" s="35"/>
      <c r="M163" s="35"/>
    </row>
    <row r="164" customFormat="false" ht="15" hidden="false" customHeight="true" outlineLevel="0" collapsed="false">
      <c r="A164" s="36"/>
      <c r="B164" s="35"/>
      <c r="C164" s="35"/>
      <c r="D164" s="35"/>
      <c r="E164" s="35"/>
      <c r="F164" s="35"/>
      <c r="G164" s="35"/>
      <c r="H164" s="56"/>
      <c r="I164" s="56"/>
      <c r="J164" s="35"/>
      <c r="K164" s="35"/>
      <c r="L164" s="35"/>
      <c r="M164" s="35"/>
    </row>
    <row r="165" customFormat="false" ht="15" hidden="false" customHeight="true" outlineLevel="0" collapsed="false">
      <c r="A165" s="36"/>
      <c r="B165" s="35"/>
      <c r="C165" s="35"/>
      <c r="D165" s="35"/>
      <c r="E165" s="35"/>
      <c r="F165" s="35"/>
      <c r="G165" s="35"/>
      <c r="H165" s="56"/>
      <c r="I165" s="56"/>
      <c r="J165" s="35"/>
      <c r="K165" s="35"/>
      <c r="L165" s="35"/>
      <c r="M165" s="35"/>
    </row>
    <row r="166" customFormat="false" ht="15" hidden="false" customHeight="true" outlineLevel="0" collapsed="false">
      <c r="A166" s="36"/>
      <c r="B166" s="35"/>
      <c r="C166" s="35"/>
      <c r="D166" s="35"/>
      <c r="E166" s="35"/>
      <c r="F166" s="35"/>
      <c r="G166" s="35"/>
      <c r="H166" s="56"/>
      <c r="I166" s="56"/>
      <c r="J166" s="35"/>
      <c r="K166" s="35"/>
      <c r="L166" s="35"/>
      <c r="M166" s="35"/>
    </row>
    <row r="167" customFormat="false" ht="15" hidden="false" customHeight="true" outlineLevel="0" collapsed="false">
      <c r="A167" s="36"/>
      <c r="B167" s="35"/>
      <c r="C167" s="35"/>
      <c r="D167" s="35"/>
      <c r="E167" s="35"/>
      <c r="F167" s="35"/>
      <c r="G167" s="35"/>
      <c r="H167" s="56"/>
      <c r="I167" s="56"/>
      <c r="J167" s="35"/>
      <c r="K167" s="35"/>
      <c r="L167" s="35"/>
      <c r="M167" s="35"/>
    </row>
    <row r="168" customFormat="false" ht="15" hidden="false" customHeight="true" outlineLevel="0" collapsed="false">
      <c r="A168" s="36"/>
      <c r="B168" s="35"/>
      <c r="C168" s="35"/>
      <c r="D168" s="35"/>
      <c r="E168" s="35"/>
      <c r="F168" s="35"/>
      <c r="G168" s="35"/>
      <c r="H168" s="56"/>
      <c r="I168" s="56"/>
      <c r="J168" s="35"/>
      <c r="K168" s="35"/>
      <c r="L168" s="35"/>
      <c r="M168" s="35"/>
    </row>
    <row r="169" customFormat="false" ht="15" hidden="false" customHeight="true" outlineLevel="0" collapsed="false">
      <c r="A169" s="36"/>
      <c r="B169" s="35"/>
      <c r="C169" s="35"/>
      <c r="D169" s="35"/>
      <c r="E169" s="35"/>
      <c r="F169" s="35"/>
      <c r="G169" s="35"/>
      <c r="H169" s="56"/>
      <c r="I169" s="56"/>
      <c r="J169" s="35"/>
      <c r="K169" s="35"/>
      <c r="L169" s="35"/>
      <c r="M169" s="35"/>
    </row>
    <row r="170" customFormat="false" ht="15" hidden="false" customHeight="true" outlineLevel="0" collapsed="false">
      <c r="A170" s="36"/>
      <c r="B170" s="35"/>
      <c r="C170" s="35"/>
      <c r="D170" s="35"/>
      <c r="E170" s="35"/>
      <c r="F170" s="35"/>
      <c r="G170" s="35"/>
      <c r="H170" s="56"/>
      <c r="I170" s="56"/>
      <c r="J170" s="35"/>
      <c r="K170" s="35"/>
      <c r="L170" s="35"/>
      <c r="M170" s="35"/>
    </row>
    <row r="171" customFormat="false" ht="15" hidden="false" customHeight="true" outlineLevel="0" collapsed="false">
      <c r="A171" s="36"/>
      <c r="B171" s="35"/>
      <c r="C171" s="35"/>
      <c r="D171" s="35"/>
      <c r="E171" s="35"/>
      <c r="F171" s="35"/>
      <c r="G171" s="35"/>
      <c r="H171" s="56"/>
      <c r="I171" s="56"/>
      <c r="J171" s="35"/>
      <c r="K171" s="35"/>
      <c r="L171" s="35"/>
      <c r="M171" s="35"/>
    </row>
    <row r="172" customFormat="false" ht="15" hidden="false" customHeight="true" outlineLevel="0" collapsed="false">
      <c r="A172" s="36"/>
      <c r="B172" s="35"/>
      <c r="C172" s="35"/>
      <c r="D172" s="35"/>
      <c r="E172" s="35"/>
      <c r="F172" s="35"/>
      <c r="G172" s="35"/>
      <c r="H172" s="56"/>
      <c r="I172" s="56"/>
      <c r="J172" s="35"/>
      <c r="K172" s="35"/>
      <c r="L172" s="35"/>
      <c r="M172" s="35"/>
    </row>
    <row r="173" customFormat="false" ht="15" hidden="false" customHeight="true" outlineLevel="0" collapsed="false">
      <c r="A173" s="36"/>
      <c r="B173" s="35"/>
      <c r="C173" s="35"/>
      <c r="D173" s="35"/>
      <c r="E173" s="35"/>
      <c r="F173" s="35"/>
      <c r="G173" s="35"/>
      <c r="H173" s="56"/>
      <c r="I173" s="56"/>
      <c r="J173" s="35"/>
      <c r="K173" s="35"/>
      <c r="L173" s="35"/>
      <c r="M173" s="35"/>
    </row>
    <row r="174" customFormat="false" ht="15" hidden="false" customHeight="true" outlineLevel="0" collapsed="false">
      <c r="A174" s="36"/>
      <c r="B174" s="35"/>
      <c r="C174" s="35"/>
      <c r="D174" s="35"/>
      <c r="E174" s="35"/>
      <c r="F174" s="35"/>
      <c r="G174" s="35"/>
      <c r="H174" s="56"/>
      <c r="I174" s="56"/>
      <c r="J174" s="35"/>
      <c r="K174" s="35"/>
      <c r="L174" s="35"/>
      <c r="M174" s="35"/>
    </row>
    <row r="175" customFormat="false" ht="15" hidden="false" customHeight="true" outlineLevel="0" collapsed="false">
      <c r="A175" s="36"/>
      <c r="B175" s="35"/>
      <c r="C175" s="35"/>
      <c r="D175" s="35"/>
      <c r="E175" s="35"/>
      <c r="F175" s="35"/>
      <c r="G175" s="35"/>
      <c r="H175" s="56"/>
      <c r="I175" s="56"/>
      <c r="J175" s="35"/>
      <c r="K175" s="35"/>
      <c r="L175" s="35"/>
      <c r="M175" s="35"/>
    </row>
    <row r="176" customFormat="false" ht="15" hidden="false" customHeight="true" outlineLevel="0" collapsed="false">
      <c r="A176" s="36"/>
      <c r="B176" s="35"/>
      <c r="C176" s="35"/>
      <c r="D176" s="35"/>
      <c r="E176" s="35"/>
      <c r="F176" s="35"/>
      <c r="G176" s="35"/>
      <c r="H176" s="56"/>
      <c r="I176" s="56"/>
      <c r="J176" s="35"/>
      <c r="K176" s="35"/>
      <c r="L176" s="35"/>
      <c r="M176" s="35"/>
    </row>
    <row r="177" customFormat="false" ht="15" hidden="false" customHeight="true" outlineLevel="0" collapsed="false">
      <c r="A177" s="36"/>
      <c r="B177" s="35"/>
      <c r="C177" s="35"/>
      <c r="D177" s="35"/>
      <c r="E177" s="35"/>
      <c r="F177" s="35"/>
      <c r="G177" s="35"/>
      <c r="H177" s="56"/>
      <c r="I177" s="56"/>
      <c r="J177" s="35"/>
      <c r="K177" s="35"/>
      <c r="L177" s="35"/>
      <c r="M177" s="35"/>
    </row>
    <row r="178" customFormat="false" ht="15" hidden="false" customHeight="true" outlineLevel="0" collapsed="false">
      <c r="A178" s="36"/>
      <c r="B178" s="35"/>
      <c r="C178" s="35"/>
      <c r="D178" s="35"/>
      <c r="E178" s="35"/>
      <c r="F178" s="35"/>
      <c r="G178" s="35"/>
      <c r="H178" s="56"/>
      <c r="I178" s="56"/>
      <c r="J178" s="35"/>
      <c r="K178" s="35"/>
      <c r="L178" s="35"/>
      <c r="M178" s="35"/>
    </row>
    <row r="179" customFormat="false" ht="15" hidden="false" customHeight="true" outlineLevel="0" collapsed="false">
      <c r="A179" s="36"/>
      <c r="B179" s="35"/>
      <c r="C179" s="35"/>
      <c r="D179" s="35"/>
      <c r="E179" s="35"/>
      <c r="F179" s="35"/>
      <c r="G179" s="35"/>
      <c r="H179" s="56"/>
      <c r="I179" s="56"/>
      <c r="J179" s="35"/>
      <c r="K179" s="35"/>
      <c r="L179" s="35"/>
      <c r="M179" s="35"/>
    </row>
    <row r="180" customFormat="false" ht="15" hidden="false" customHeight="true" outlineLevel="0" collapsed="false">
      <c r="A180" s="36"/>
      <c r="B180" s="35"/>
      <c r="C180" s="35"/>
      <c r="D180" s="35"/>
      <c r="E180" s="35"/>
      <c r="F180" s="35"/>
      <c r="G180" s="35"/>
      <c r="H180" s="56"/>
      <c r="I180" s="56"/>
      <c r="J180" s="35"/>
      <c r="K180" s="35"/>
      <c r="L180" s="35"/>
      <c r="M180" s="35"/>
    </row>
    <row r="181" customFormat="false" ht="15" hidden="false" customHeight="true" outlineLevel="0" collapsed="false">
      <c r="A181" s="36"/>
      <c r="B181" s="35"/>
      <c r="C181" s="35"/>
      <c r="D181" s="35"/>
      <c r="E181" s="35"/>
      <c r="F181" s="35"/>
      <c r="G181" s="35"/>
      <c r="H181" s="56"/>
      <c r="I181" s="56"/>
      <c r="J181" s="35"/>
      <c r="K181" s="35"/>
      <c r="L181" s="35"/>
      <c r="M181" s="35"/>
    </row>
    <row r="182" customFormat="false" ht="15" hidden="false" customHeight="true" outlineLevel="0" collapsed="false">
      <c r="A182" s="36"/>
      <c r="B182" s="35"/>
      <c r="C182" s="35"/>
      <c r="D182" s="35"/>
      <c r="E182" s="35"/>
      <c r="F182" s="35"/>
      <c r="G182" s="35"/>
      <c r="H182" s="56"/>
      <c r="I182" s="56"/>
      <c r="J182" s="35"/>
      <c r="K182" s="35"/>
      <c r="L182" s="35"/>
      <c r="M182" s="35"/>
    </row>
    <row r="183" customFormat="false" ht="15" hidden="false" customHeight="true" outlineLevel="0" collapsed="false">
      <c r="A183" s="36"/>
      <c r="B183" s="35"/>
      <c r="C183" s="35"/>
      <c r="D183" s="35"/>
      <c r="E183" s="35"/>
      <c r="F183" s="35"/>
      <c r="G183" s="35"/>
      <c r="H183" s="56"/>
      <c r="I183" s="56"/>
      <c r="J183" s="35"/>
      <c r="K183" s="35"/>
      <c r="L183" s="35"/>
      <c r="M183" s="35"/>
    </row>
    <row r="184" customFormat="false" ht="15" hidden="false" customHeight="true" outlineLevel="0" collapsed="false">
      <c r="A184" s="36"/>
      <c r="B184" s="35"/>
      <c r="C184" s="35"/>
      <c r="D184" s="35"/>
      <c r="E184" s="35"/>
      <c r="F184" s="35"/>
      <c r="G184" s="35"/>
      <c r="H184" s="56"/>
      <c r="I184" s="56"/>
      <c r="J184" s="35"/>
      <c r="K184" s="35"/>
      <c r="L184" s="35"/>
      <c r="M184" s="35"/>
    </row>
    <row r="185" customFormat="false" ht="15" hidden="false" customHeight="true" outlineLevel="0" collapsed="false">
      <c r="A185" s="36"/>
      <c r="B185" s="35"/>
      <c r="C185" s="35"/>
      <c r="D185" s="35"/>
      <c r="E185" s="35"/>
      <c r="F185" s="35"/>
      <c r="G185" s="35"/>
      <c r="H185" s="56"/>
      <c r="I185" s="56"/>
      <c r="J185" s="35"/>
      <c r="K185" s="35"/>
      <c r="L185" s="35"/>
      <c r="M185" s="35"/>
    </row>
    <row r="186" customFormat="false" ht="15" hidden="false" customHeight="true" outlineLevel="0" collapsed="false">
      <c r="A186" s="36"/>
      <c r="B186" s="35"/>
      <c r="C186" s="35"/>
      <c r="D186" s="35"/>
      <c r="E186" s="35"/>
      <c r="F186" s="35"/>
      <c r="G186" s="35"/>
      <c r="H186" s="56"/>
      <c r="I186" s="56"/>
      <c r="J186" s="35"/>
      <c r="K186" s="35"/>
      <c r="L186" s="35"/>
      <c r="M186" s="35"/>
    </row>
    <row r="187" customFormat="false" ht="15" hidden="false" customHeight="true" outlineLevel="0" collapsed="false">
      <c r="A187" s="36"/>
      <c r="B187" s="35"/>
      <c r="C187" s="35"/>
      <c r="D187" s="35"/>
      <c r="E187" s="35"/>
      <c r="F187" s="35"/>
      <c r="G187" s="35"/>
      <c r="H187" s="56"/>
      <c r="I187" s="56"/>
      <c r="J187" s="35"/>
      <c r="K187" s="35"/>
      <c r="L187" s="35"/>
      <c r="M187" s="35"/>
    </row>
    <row r="188" customFormat="false" ht="15" hidden="false" customHeight="true" outlineLevel="0" collapsed="false">
      <c r="A188" s="36"/>
      <c r="B188" s="35"/>
      <c r="C188" s="35"/>
      <c r="D188" s="35"/>
      <c r="E188" s="35"/>
      <c r="F188" s="35"/>
      <c r="G188" s="35"/>
      <c r="H188" s="56"/>
      <c r="I188" s="56"/>
      <c r="J188" s="35"/>
      <c r="K188" s="35"/>
      <c r="L188" s="35"/>
      <c r="M188" s="35"/>
    </row>
    <row r="189" customFormat="false" ht="15" hidden="false" customHeight="true" outlineLevel="0" collapsed="false">
      <c r="A189" s="36"/>
      <c r="B189" s="35"/>
      <c r="C189" s="35"/>
      <c r="D189" s="35"/>
      <c r="E189" s="35"/>
      <c r="F189" s="35"/>
      <c r="G189" s="35"/>
      <c r="H189" s="56"/>
      <c r="I189" s="56"/>
      <c r="J189" s="35"/>
      <c r="K189" s="35"/>
      <c r="L189" s="35"/>
      <c r="M189" s="35"/>
    </row>
    <row r="190" customFormat="false" ht="15" hidden="false" customHeight="true" outlineLevel="0" collapsed="false">
      <c r="A190" s="36"/>
      <c r="B190" s="35"/>
      <c r="C190" s="35"/>
      <c r="D190" s="35"/>
      <c r="E190" s="35"/>
      <c r="F190" s="35"/>
      <c r="G190" s="35"/>
      <c r="H190" s="56"/>
      <c r="I190" s="56"/>
      <c r="J190" s="35"/>
      <c r="K190" s="35"/>
      <c r="L190" s="35"/>
      <c r="M190" s="35"/>
    </row>
    <row r="191" customFormat="false" ht="15" hidden="false" customHeight="true" outlineLevel="0" collapsed="false">
      <c r="A191" s="36"/>
      <c r="B191" s="35"/>
      <c r="C191" s="35"/>
      <c r="D191" s="35"/>
      <c r="E191" s="35"/>
      <c r="F191" s="35"/>
      <c r="G191" s="35"/>
      <c r="H191" s="56"/>
      <c r="I191" s="56"/>
      <c r="J191" s="35"/>
      <c r="K191" s="35"/>
      <c r="L191" s="35"/>
      <c r="M191" s="35"/>
    </row>
    <row r="192" customFormat="false" ht="15" hidden="false" customHeight="true" outlineLevel="0" collapsed="false">
      <c r="A192" s="36"/>
      <c r="B192" s="35"/>
      <c r="C192" s="35"/>
      <c r="D192" s="35"/>
      <c r="E192" s="35"/>
      <c r="F192" s="35"/>
      <c r="G192" s="35"/>
      <c r="H192" s="56"/>
      <c r="I192" s="56"/>
      <c r="J192" s="35"/>
      <c r="K192" s="35"/>
      <c r="L192" s="35"/>
      <c r="M192" s="35"/>
    </row>
    <row r="193" customFormat="false" ht="15" hidden="false" customHeight="true" outlineLevel="0" collapsed="false">
      <c r="A193" s="36"/>
      <c r="B193" s="35"/>
      <c r="C193" s="35"/>
      <c r="D193" s="35"/>
      <c r="E193" s="35"/>
      <c r="F193" s="35"/>
      <c r="G193" s="35"/>
      <c r="H193" s="56"/>
      <c r="I193" s="56"/>
      <c r="J193" s="35"/>
      <c r="K193" s="35"/>
      <c r="L193" s="35"/>
      <c r="M193" s="35"/>
    </row>
    <row r="194" customFormat="false" ht="15" hidden="false" customHeight="true" outlineLevel="0" collapsed="false">
      <c r="A194" s="36"/>
      <c r="B194" s="35"/>
      <c r="C194" s="35"/>
      <c r="D194" s="35"/>
      <c r="E194" s="35"/>
      <c r="F194" s="35"/>
      <c r="G194" s="35"/>
      <c r="H194" s="56"/>
      <c r="I194" s="56"/>
      <c r="J194" s="35"/>
      <c r="K194" s="35"/>
      <c r="L194" s="35"/>
      <c r="M194" s="35"/>
    </row>
    <row r="195" customFormat="false" ht="15" hidden="false" customHeight="true" outlineLevel="0" collapsed="false">
      <c r="A195" s="36"/>
      <c r="B195" s="35"/>
      <c r="C195" s="35"/>
      <c r="D195" s="35"/>
      <c r="E195" s="35"/>
      <c r="F195" s="35"/>
      <c r="G195" s="35"/>
      <c r="H195" s="56"/>
      <c r="I195" s="56"/>
      <c r="J195" s="35"/>
      <c r="K195" s="35"/>
      <c r="L195" s="35"/>
      <c r="M195" s="35"/>
    </row>
    <row r="196" customFormat="false" ht="15" hidden="false" customHeight="true" outlineLevel="0" collapsed="false">
      <c r="A196" s="36"/>
      <c r="B196" s="35"/>
      <c r="C196" s="35"/>
      <c r="D196" s="35"/>
      <c r="E196" s="35"/>
      <c r="F196" s="35"/>
      <c r="G196" s="35"/>
      <c r="H196" s="56"/>
      <c r="I196" s="56"/>
      <c r="J196" s="35"/>
      <c r="K196" s="35"/>
      <c r="L196" s="35"/>
      <c r="M196" s="35"/>
    </row>
    <row r="197" customFormat="false" ht="15" hidden="false" customHeight="true" outlineLevel="0" collapsed="false">
      <c r="A197" s="36"/>
      <c r="B197" s="35"/>
      <c r="C197" s="35"/>
      <c r="D197" s="35"/>
      <c r="E197" s="35"/>
      <c r="F197" s="35"/>
      <c r="G197" s="35"/>
      <c r="H197" s="56"/>
      <c r="I197" s="56"/>
      <c r="J197" s="35"/>
      <c r="K197" s="35"/>
      <c r="L197" s="35"/>
      <c r="M197" s="35"/>
    </row>
    <row r="198" customFormat="false" ht="15" hidden="false" customHeight="true" outlineLevel="0" collapsed="false">
      <c r="A198" s="36"/>
      <c r="B198" s="35"/>
      <c r="C198" s="35"/>
      <c r="D198" s="35"/>
      <c r="E198" s="35"/>
      <c r="F198" s="35"/>
      <c r="G198" s="35"/>
      <c r="H198" s="56"/>
      <c r="I198" s="56"/>
      <c r="J198" s="35"/>
      <c r="K198" s="35"/>
      <c r="L198" s="35"/>
      <c r="M198" s="35"/>
    </row>
    <row r="199" customFormat="false" ht="15" hidden="false" customHeight="true" outlineLevel="0" collapsed="false">
      <c r="A199" s="36"/>
      <c r="B199" s="35"/>
      <c r="C199" s="35"/>
      <c r="D199" s="35"/>
      <c r="E199" s="35"/>
      <c r="F199" s="35"/>
      <c r="G199" s="35"/>
      <c r="H199" s="56"/>
      <c r="I199" s="56"/>
      <c r="J199" s="35"/>
      <c r="K199" s="35"/>
      <c r="L199" s="35"/>
      <c r="M199" s="35"/>
    </row>
    <row r="200" customFormat="false" ht="15" hidden="false" customHeight="true" outlineLevel="0" collapsed="false">
      <c r="A200" s="36"/>
      <c r="B200" s="35"/>
      <c r="C200" s="35"/>
      <c r="D200" s="35"/>
      <c r="E200" s="35"/>
      <c r="F200" s="35"/>
      <c r="G200" s="35"/>
      <c r="H200" s="56"/>
      <c r="I200" s="56"/>
      <c r="J200" s="35"/>
      <c r="K200" s="35"/>
      <c r="L200" s="35"/>
      <c r="M200" s="35"/>
    </row>
  </sheetData>
  <autoFilter ref="A2:M200"/>
  <mergeCells count="1">
    <mergeCell ref="A1:M1"/>
  </mergeCells>
  <conditionalFormatting sqref="L3:L200">
    <cfRule type="expression" priority="2" aboveAverage="0" equalAverage="0" bottom="0" percent="0" rank="0" text="" dxfId="10">
      <formula>$L3="Completed"</formula>
    </cfRule>
    <cfRule type="expression" priority="3" aboveAverage="0" equalAverage="0" bottom="0" percent="0" rank="0" text="" dxfId="10">
      <formula>$L3="Delivered"</formula>
    </cfRule>
    <cfRule type="expression" priority="4" aboveAverage="0" equalAverage="0" bottom="0" percent="0" rank="0" text="" dxfId="12">
      <formula>$L3="Ready for Delivery"</formula>
    </cfRule>
    <cfRule type="expression" priority="5" aboveAverage="0" equalAverage="0" bottom="0" percent="0" rank="0" text="" dxfId="11">
      <formula>$L3="In Progress"</formula>
    </cfRule>
  </conditionalFormatting>
  <dataValidations count="2">
    <dataValidation allowBlank="true" errorStyle="stop" operator="between" showDropDown="false" showErrorMessage="false" showInputMessage="false" sqref="J3:J200" type="list">
      <formula1>"Yes,No,N/A"</formula1>
      <formula2>0</formula2>
    </dataValidation>
    <dataValidation allowBlank="true" errorStyle="stop" operator="between" showDropDown="false" showErrorMessage="false" showInputMessage="false" sqref="L3:L200" type="list">
      <formula1>"In Progress,Completed,Ready for Delivery,Delivered"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M3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5" min="5" style="1" width="10"/>
    <col collapsed="false" customWidth="true" hidden="false" outlineLevel="0" max="6" min="6" style="1" width="22"/>
    <col collapsed="false" customWidth="true" hidden="false" outlineLevel="0" max="7" min="7" style="1" width="16"/>
    <col collapsed="false" customWidth="true" hidden="false" outlineLevel="0" max="8" min="8" style="1" width="38"/>
    <col collapsed="false" customWidth="true" hidden="false" outlineLevel="0" max="10" min="9" style="1" width="10"/>
    <col collapsed="false" customWidth="true" hidden="false" outlineLevel="0" max="11" min="11" style="1" width="8"/>
    <col collapsed="false" customWidth="true" hidden="false" outlineLevel="0" max="12" min="12" style="1" width="14"/>
    <col collapsed="false" customWidth="true" hidden="false" outlineLevel="0" max="13" min="13" style="1" width="24"/>
  </cols>
  <sheetData>
    <row r="1" customFormat="false" ht="30" hidden="false" customHeight="true" outlineLevel="0" collapsed="false">
      <c r="A1" s="2" t="s">
        <v>741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0" hidden="false" customHeight="true" outlineLevel="0" collapsed="false">
      <c r="A2" s="16" t="s">
        <v>24</v>
      </c>
      <c r="B2" s="16" t="s">
        <v>742</v>
      </c>
      <c r="C2" s="16" t="s">
        <v>743</v>
      </c>
      <c r="D2" s="16" t="s">
        <v>744</v>
      </c>
      <c r="E2" s="16" t="s">
        <v>23</v>
      </c>
      <c r="F2" s="16" t="s">
        <v>596</v>
      </c>
      <c r="G2" s="16" t="s">
        <v>28</v>
      </c>
      <c r="H2" s="16" t="s">
        <v>745</v>
      </c>
      <c r="I2" s="16" t="s">
        <v>746</v>
      </c>
      <c r="J2" s="16" t="s">
        <v>747</v>
      </c>
      <c r="K2" s="16" t="s">
        <v>748</v>
      </c>
      <c r="L2" s="16" t="s">
        <v>726</v>
      </c>
      <c r="M2" s="16" t="s">
        <v>43</v>
      </c>
    </row>
    <row r="3" customFormat="false" ht="15" hidden="false" customHeight="true" outlineLevel="0" collapsed="false">
      <c r="A3" s="18" t="n">
        <v>45967</v>
      </c>
      <c r="B3" s="19" t="s">
        <v>727</v>
      </c>
      <c r="C3" s="19" t="s">
        <v>749</v>
      </c>
      <c r="D3" s="19" t="s">
        <v>750</v>
      </c>
      <c r="E3" s="17" t="s">
        <v>149</v>
      </c>
      <c r="F3" s="19" t="s">
        <v>150</v>
      </c>
      <c r="G3" s="19" t="s">
        <v>153</v>
      </c>
      <c r="H3" s="20" t="s">
        <v>751</v>
      </c>
      <c r="I3" s="17" t="n">
        <v>11</v>
      </c>
      <c r="J3" s="55"/>
      <c r="K3" s="57" t="n">
        <v>5</v>
      </c>
      <c r="L3" s="19" t="s">
        <v>731</v>
      </c>
      <c r="M3" s="20" t="s">
        <v>752</v>
      </c>
    </row>
    <row r="4" customFormat="false" ht="15" hidden="false" customHeight="true" outlineLevel="0" collapsed="false">
      <c r="A4" s="18" t="n">
        <v>45967</v>
      </c>
      <c r="B4" s="19" t="s">
        <v>730</v>
      </c>
      <c r="C4" s="19" t="s">
        <v>753</v>
      </c>
      <c r="D4" s="19" t="s">
        <v>754</v>
      </c>
      <c r="E4" s="17" t="s">
        <v>149</v>
      </c>
      <c r="F4" s="19" t="s">
        <v>150</v>
      </c>
      <c r="G4" s="19" t="s">
        <v>153</v>
      </c>
      <c r="H4" s="20" t="s">
        <v>755</v>
      </c>
      <c r="I4" s="17" t="n">
        <v>11</v>
      </c>
      <c r="J4" s="55"/>
      <c r="K4" s="57" t="n">
        <v>3</v>
      </c>
      <c r="L4" s="19" t="s">
        <v>731</v>
      </c>
      <c r="M4" s="20" t="s">
        <v>752</v>
      </c>
    </row>
    <row r="5" customFormat="false" ht="23.25" hidden="false" customHeight="true" outlineLevel="0" collapsed="false">
      <c r="A5" s="18" t="n">
        <v>45967</v>
      </c>
      <c r="B5" s="19" t="s">
        <v>756</v>
      </c>
      <c r="C5" s="19" t="s">
        <v>757</v>
      </c>
      <c r="D5" s="19" t="s">
        <v>758</v>
      </c>
      <c r="E5" s="17" t="s">
        <v>149</v>
      </c>
      <c r="F5" s="19" t="s">
        <v>150</v>
      </c>
      <c r="G5" s="19"/>
      <c r="H5" s="20" t="s">
        <v>759</v>
      </c>
      <c r="I5" s="17"/>
      <c r="J5" s="55"/>
      <c r="K5" s="57" t="n">
        <v>6</v>
      </c>
      <c r="L5" s="19" t="s">
        <v>731</v>
      </c>
      <c r="M5" s="20" t="s">
        <v>752</v>
      </c>
    </row>
    <row r="6" customFormat="false" ht="15" hidden="false" customHeight="true" outlineLevel="0" collapsed="false">
      <c r="A6" s="18" t="n">
        <v>45967</v>
      </c>
      <c r="B6" s="19" t="s">
        <v>760</v>
      </c>
      <c r="C6" s="19" t="s">
        <v>761</v>
      </c>
      <c r="D6" s="19" t="s">
        <v>762</v>
      </c>
      <c r="E6" s="17" t="s">
        <v>149</v>
      </c>
      <c r="F6" s="19" t="s">
        <v>763</v>
      </c>
      <c r="G6" s="19"/>
      <c r="H6" s="20" t="s">
        <v>764</v>
      </c>
      <c r="I6" s="17"/>
      <c r="J6" s="55"/>
      <c r="K6" s="57" t="n">
        <v>2</v>
      </c>
      <c r="L6" s="19" t="s">
        <v>731</v>
      </c>
      <c r="M6" s="20" t="s">
        <v>752</v>
      </c>
    </row>
    <row r="7" customFormat="false" ht="15" hidden="false" customHeight="true" outlineLevel="0" collapsed="false">
      <c r="A7" s="18" t="n">
        <v>45967</v>
      </c>
      <c r="B7" s="19" t="s">
        <v>760</v>
      </c>
      <c r="C7" s="19" t="s">
        <v>761</v>
      </c>
      <c r="D7" s="19" t="s">
        <v>758</v>
      </c>
      <c r="E7" s="17"/>
      <c r="F7" s="19"/>
      <c r="G7" s="19"/>
      <c r="H7" s="20" t="s">
        <v>765</v>
      </c>
      <c r="I7" s="17"/>
      <c r="J7" s="55"/>
      <c r="K7" s="57" t="n">
        <v>3</v>
      </c>
      <c r="L7" s="19" t="s">
        <v>731</v>
      </c>
      <c r="M7" s="20" t="s">
        <v>752</v>
      </c>
    </row>
    <row r="8" customFormat="false" ht="15" hidden="false" customHeight="true" outlineLevel="0" collapsed="false">
      <c r="A8" s="18" t="n">
        <v>45966</v>
      </c>
      <c r="B8" s="19" t="s">
        <v>727</v>
      </c>
      <c r="C8" s="19" t="s">
        <v>749</v>
      </c>
      <c r="D8" s="19" t="s">
        <v>750</v>
      </c>
      <c r="E8" s="17" t="s">
        <v>138</v>
      </c>
      <c r="F8" s="19" t="s">
        <v>139</v>
      </c>
      <c r="G8" s="19" t="s">
        <v>142</v>
      </c>
      <c r="H8" s="20" t="s">
        <v>766</v>
      </c>
      <c r="I8" s="17"/>
      <c r="J8" s="55" t="n">
        <v>27</v>
      </c>
      <c r="K8" s="57" t="n">
        <v>6</v>
      </c>
      <c r="L8" s="19" t="s">
        <v>731</v>
      </c>
      <c r="M8" s="20" t="s">
        <v>752</v>
      </c>
    </row>
    <row r="9" customFormat="false" ht="15" hidden="false" customHeight="true" outlineLevel="0" collapsed="false">
      <c r="A9" s="36"/>
      <c r="B9" s="35"/>
      <c r="C9" s="35"/>
      <c r="D9" s="35"/>
      <c r="E9" s="35"/>
      <c r="F9" s="35"/>
      <c r="G9" s="35"/>
      <c r="H9" s="35"/>
      <c r="I9" s="35"/>
      <c r="J9" s="56"/>
      <c r="K9" s="58"/>
      <c r="L9" s="35"/>
      <c r="M9" s="35"/>
    </row>
    <row r="10" customFormat="false" ht="15" hidden="false" customHeight="true" outlineLevel="0" collapsed="false">
      <c r="A10" s="36"/>
      <c r="B10" s="35"/>
      <c r="C10" s="35"/>
      <c r="D10" s="35"/>
      <c r="E10" s="35"/>
      <c r="F10" s="35"/>
      <c r="G10" s="35"/>
      <c r="H10" s="35"/>
      <c r="I10" s="35"/>
      <c r="J10" s="56"/>
      <c r="K10" s="58"/>
      <c r="L10" s="35"/>
      <c r="M10" s="35"/>
    </row>
    <row r="11" customFormat="false" ht="15" hidden="false" customHeight="true" outlineLevel="0" collapsed="false">
      <c r="A11" s="36"/>
      <c r="B11" s="35"/>
      <c r="C11" s="35"/>
      <c r="D11" s="35"/>
      <c r="E11" s="35"/>
      <c r="F11" s="35"/>
      <c r="G11" s="35"/>
      <c r="H11" s="35"/>
      <c r="I11" s="35"/>
      <c r="J11" s="56"/>
      <c r="K11" s="58"/>
      <c r="L11" s="35"/>
      <c r="M11" s="35"/>
    </row>
    <row r="12" customFormat="false" ht="15" hidden="false" customHeight="true" outlineLevel="0" collapsed="false">
      <c r="A12" s="36"/>
      <c r="B12" s="35"/>
      <c r="C12" s="35"/>
      <c r="D12" s="35"/>
      <c r="E12" s="35"/>
      <c r="F12" s="35"/>
      <c r="G12" s="35"/>
      <c r="H12" s="35"/>
      <c r="I12" s="35"/>
      <c r="J12" s="56"/>
      <c r="K12" s="58"/>
      <c r="L12" s="35"/>
      <c r="M12" s="35"/>
    </row>
    <row r="13" customFormat="false" ht="15" hidden="false" customHeight="true" outlineLevel="0" collapsed="false">
      <c r="A13" s="36"/>
      <c r="B13" s="35"/>
      <c r="C13" s="35"/>
      <c r="D13" s="35"/>
      <c r="E13" s="35"/>
      <c r="F13" s="35"/>
      <c r="G13" s="35"/>
      <c r="H13" s="35"/>
      <c r="I13" s="35"/>
      <c r="J13" s="56"/>
      <c r="K13" s="58"/>
      <c r="L13" s="35"/>
      <c r="M13" s="35"/>
    </row>
    <row r="14" customFormat="false" ht="15" hidden="false" customHeight="true" outlineLevel="0" collapsed="false">
      <c r="A14" s="36"/>
      <c r="B14" s="35"/>
      <c r="C14" s="35"/>
      <c r="D14" s="35"/>
      <c r="E14" s="35"/>
      <c r="F14" s="35"/>
      <c r="G14" s="35"/>
      <c r="H14" s="35"/>
      <c r="I14" s="35"/>
      <c r="J14" s="56"/>
      <c r="K14" s="58"/>
      <c r="L14" s="35"/>
      <c r="M14" s="35"/>
    </row>
    <row r="15" customFormat="false" ht="15" hidden="false" customHeight="true" outlineLevel="0" collapsed="false">
      <c r="A15" s="36"/>
      <c r="B15" s="35"/>
      <c r="C15" s="35"/>
      <c r="D15" s="35"/>
      <c r="E15" s="35"/>
      <c r="F15" s="35"/>
      <c r="G15" s="35"/>
      <c r="H15" s="35"/>
      <c r="I15" s="35"/>
      <c r="J15" s="56"/>
      <c r="K15" s="58"/>
      <c r="L15" s="35"/>
      <c r="M15" s="35"/>
    </row>
    <row r="16" customFormat="false" ht="15" hidden="false" customHeight="true" outlineLevel="0" collapsed="false">
      <c r="A16" s="36"/>
      <c r="B16" s="35"/>
      <c r="C16" s="35"/>
      <c r="D16" s="35"/>
      <c r="E16" s="35"/>
      <c r="F16" s="35"/>
      <c r="G16" s="35"/>
      <c r="H16" s="35"/>
      <c r="I16" s="35"/>
      <c r="J16" s="56"/>
      <c r="K16" s="58"/>
      <c r="L16" s="35"/>
      <c r="M16" s="35"/>
    </row>
    <row r="17" customFormat="false" ht="15" hidden="false" customHeight="true" outlineLevel="0" collapsed="false">
      <c r="A17" s="36"/>
      <c r="B17" s="35"/>
      <c r="C17" s="35"/>
      <c r="D17" s="35"/>
      <c r="E17" s="35"/>
      <c r="F17" s="35"/>
      <c r="G17" s="35"/>
      <c r="H17" s="35"/>
      <c r="I17" s="35"/>
      <c r="J17" s="56"/>
      <c r="K17" s="58"/>
      <c r="L17" s="35"/>
      <c r="M17" s="35"/>
    </row>
    <row r="18" customFormat="false" ht="15" hidden="false" customHeight="true" outlineLevel="0" collapsed="false">
      <c r="A18" s="36"/>
      <c r="B18" s="35"/>
      <c r="C18" s="35"/>
      <c r="D18" s="35"/>
      <c r="E18" s="35"/>
      <c r="F18" s="35"/>
      <c r="G18" s="35"/>
      <c r="H18" s="35"/>
      <c r="I18" s="35"/>
      <c r="J18" s="56"/>
      <c r="K18" s="58"/>
      <c r="L18" s="35"/>
      <c r="M18" s="35"/>
    </row>
    <row r="19" customFormat="false" ht="15" hidden="false" customHeight="true" outlineLevel="0" collapsed="false">
      <c r="A19" s="36"/>
      <c r="B19" s="35"/>
      <c r="C19" s="35"/>
      <c r="D19" s="35"/>
      <c r="E19" s="35"/>
      <c r="F19" s="35"/>
      <c r="G19" s="35"/>
      <c r="H19" s="35"/>
      <c r="I19" s="35"/>
      <c r="J19" s="56"/>
      <c r="K19" s="58"/>
      <c r="L19" s="35"/>
      <c r="M19" s="35"/>
    </row>
    <row r="20" customFormat="false" ht="15" hidden="false" customHeight="true" outlineLevel="0" collapsed="false">
      <c r="A20" s="36"/>
      <c r="B20" s="35"/>
      <c r="C20" s="35"/>
      <c r="D20" s="35"/>
      <c r="E20" s="35"/>
      <c r="F20" s="35"/>
      <c r="G20" s="35"/>
      <c r="H20" s="35"/>
      <c r="I20" s="35"/>
      <c r="J20" s="56"/>
      <c r="K20" s="58"/>
      <c r="L20" s="35"/>
      <c r="M20" s="35"/>
    </row>
    <row r="21" customFormat="false" ht="15" hidden="false" customHeight="true" outlineLevel="0" collapsed="false">
      <c r="A21" s="36"/>
      <c r="B21" s="35"/>
      <c r="C21" s="35"/>
      <c r="D21" s="35"/>
      <c r="E21" s="35"/>
      <c r="F21" s="35"/>
      <c r="G21" s="35"/>
      <c r="H21" s="35"/>
      <c r="I21" s="35"/>
      <c r="J21" s="56"/>
      <c r="K21" s="58"/>
      <c r="L21" s="35"/>
      <c r="M21" s="35"/>
    </row>
    <row r="22" customFormat="false" ht="15" hidden="false" customHeight="true" outlineLevel="0" collapsed="false">
      <c r="A22" s="36"/>
      <c r="B22" s="35"/>
      <c r="C22" s="35"/>
      <c r="D22" s="35"/>
      <c r="E22" s="35"/>
      <c r="F22" s="35"/>
      <c r="G22" s="35"/>
      <c r="H22" s="35"/>
      <c r="I22" s="35"/>
      <c r="J22" s="56"/>
      <c r="K22" s="58"/>
      <c r="L22" s="35"/>
      <c r="M22" s="35"/>
    </row>
    <row r="23" customFormat="false" ht="15" hidden="false" customHeight="true" outlineLevel="0" collapsed="false">
      <c r="A23" s="36"/>
      <c r="B23" s="35"/>
      <c r="C23" s="35"/>
      <c r="D23" s="35"/>
      <c r="E23" s="35"/>
      <c r="F23" s="35"/>
      <c r="G23" s="35"/>
      <c r="H23" s="35"/>
      <c r="I23" s="35"/>
      <c r="J23" s="56"/>
      <c r="K23" s="58"/>
      <c r="L23" s="35"/>
      <c r="M23" s="35"/>
    </row>
    <row r="24" customFormat="false" ht="15" hidden="false" customHeight="true" outlineLevel="0" collapsed="false">
      <c r="A24" s="36"/>
      <c r="B24" s="35"/>
      <c r="C24" s="35"/>
      <c r="D24" s="35"/>
      <c r="E24" s="35"/>
      <c r="F24" s="35"/>
      <c r="G24" s="35"/>
      <c r="H24" s="35"/>
      <c r="I24" s="35"/>
      <c r="J24" s="56"/>
      <c r="K24" s="58"/>
      <c r="L24" s="35"/>
      <c r="M24" s="35"/>
    </row>
    <row r="25" customFormat="false" ht="15" hidden="false" customHeight="true" outlineLevel="0" collapsed="false">
      <c r="A25" s="36"/>
      <c r="B25" s="35"/>
      <c r="C25" s="35"/>
      <c r="D25" s="35"/>
      <c r="E25" s="35"/>
      <c r="F25" s="35"/>
      <c r="G25" s="35"/>
      <c r="H25" s="35"/>
      <c r="I25" s="35"/>
      <c r="J25" s="56"/>
      <c r="K25" s="58"/>
      <c r="L25" s="35"/>
      <c r="M25" s="35"/>
    </row>
    <row r="26" customFormat="false" ht="15" hidden="false" customHeight="true" outlineLevel="0" collapsed="false">
      <c r="A26" s="36"/>
      <c r="B26" s="35"/>
      <c r="C26" s="35"/>
      <c r="D26" s="35"/>
      <c r="E26" s="35"/>
      <c r="F26" s="35"/>
      <c r="G26" s="35"/>
      <c r="H26" s="35"/>
      <c r="I26" s="35"/>
      <c r="J26" s="56"/>
      <c r="K26" s="58"/>
      <c r="L26" s="35"/>
      <c r="M26" s="35"/>
    </row>
    <row r="27" customFormat="false" ht="15" hidden="false" customHeight="true" outlineLevel="0" collapsed="false">
      <c r="A27" s="36"/>
      <c r="B27" s="35"/>
      <c r="C27" s="35"/>
      <c r="D27" s="35"/>
      <c r="E27" s="35"/>
      <c r="F27" s="35"/>
      <c r="G27" s="35"/>
      <c r="H27" s="35"/>
      <c r="I27" s="35"/>
      <c r="J27" s="56"/>
      <c r="K27" s="58"/>
      <c r="L27" s="35"/>
      <c r="M27" s="35"/>
    </row>
    <row r="28" customFormat="false" ht="15" hidden="false" customHeight="true" outlineLevel="0" collapsed="false">
      <c r="A28" s="36"/>
      <c r="B28" s="35"/>
      <c r="C28" s="35"/>
      <c r="D28" s="35"/>
      <c r="E28" s="35"/>
      <c r="F28" s="35"/>
      <c r="G28" s="35"/>
      <c r="H28" s="35"/>
      <c r="I28" s="35"/>
      <c r="J28" s="56"/>
      <c r="K28" s="58"/>
      <c r="L28" s="35"/>
      <c r="M28" s="35"/>
    </row>
    <row r="29" customFormat="false" ht="15" hidden="false" customHeight="true" outlineLevel="0" collapsed="false">
      <c r="A29" s="36"/>
      <c r="B29" s="35"/>
      <c r="C29" s="35"/>
      <c r="D29" s="35"/>
      <c r="E29" s="35"/>
      <c r="F29" s="35"/>
      <c r="G29" s="35"/>
      <c r="H29" s="35"/>
      <c r="I29" s="35"/>
      <c r="J29" s="56"/>
      <c r="K29" s="58"/>
      <c r="L29" s="35"/>
      <c r="M29" s="35"/>
    </row>
    <row r="30" customFormat="false" ht="15" hidden="false" customHeight="true" outlineLevel="0" collapsed="false">
      <c r="A30" s="36"/>
      <c r="B30" s="35"/>
      <c r="C30" s="35"/>
      <c r="D30" s="35"/>
      <c r="E30" s="35"/>
      <c r="F30" s="35"/>
      <c r="G30" s="35"/>
      <c r="H30" s="35"/>
      <c r="I30" s="35"/>
      <c r="J30" s="56"/>
      <c r="K30" s="58"/>
      <c r="L30" s="35"/>
      <c r="M30" s="35"/>
    </row>
    <row r="31" customFormat="false" ht="15" hidden="false" customHeight="true" outlineLevel="0" collapsed="false">
      <c r="A31" s="36"/>
      <c r="B31" s="35"/>
      <c r="C31" s="35"/>
      <c r="D31" s="35"/>
      <c r="E31" s="35"/>
      <c r="F31" s="35"/>
      <c r="G31" s="35"/>
      <c r="H31" s="35"/>
      <c r="I31" s="35"/>
      <c r="J31" s="56"/>
      <c r="K31" s="58"/>
      <c r="L31" s="35"/>
      <c r="M31" s="35"/>
    </row>
    <row r="32" customFormat="false" ht="15" hidden="false" customHeight="true" outlineLevel="0" collapsed="false">
      <c r="A32" s="36"/>
      <c r="B32" s="35"/>
      <c r="C32" s="35"/>
      <c r="D32" s="35"/>
      <c r="E32" s="35"/>
      <c r="F32" s="35"/>
      <c r="G32" s="35"/>
      <c r="H32" s="35"/>
      <c r="I32" s="35"/>
      <c r="J32" s="56"/>
      <c r="K32" s="58"/>
      <c r="L32" s="35"/>
      <c r="M32" s="35"/>
    </row>
    <row r="33" customFormat="false" ht="15" hidden="false" customHeight="true" outlineLevel="0" collapsed="false">
      <c r="A33" s="36"/>
      <c r="B33" s="35"/>
      <c r="C33" s="35"/>
      <c r="D33" s="35"/>
      <c r="E33" s="35"/>
      <c r="F33" s="35"/>
      <c r="G33" s="35"/>
      <c r="H33" s="35"/>
      <c r="I33" s="35"/>
      <c r="J33" s="56"/>
      <c r="K33" s="58"/>
      <c r="L33" s="35"/>
      <c r="M33" s="35"/>
    </row>
    <row r="34" customFormat="false" ht="15" hidden="false" customHeight="true" outlineLevel="0" collapsed="false">
      <c r="A34" s="36"/>
      <c r="B34" s="35"/>
      <c r="C34" s="35"/>
      <c r="D34" s="35"/>
      <c r="E34" s="35"/>
      <c r="F34" s="35"/>
      <c r="G34" s="35"/>
      <c r="H34" s="35"/>
      <c r="I34" s="35"/>
      <c r="J34" s="56"/>
      <c r="K34" s="58"/>
      <c r="L34" s="35"/>
      <c r="M34" s="35"/>
    </row>
    <row r="35" customFormat="false" ht="15" hidden="false" customHeight="true" outlineLevel="0" collapsed="false">
      <c r="A35" s="36"/>
      <c r="B35" s="35"/>
      <c r="C35" s="35"/>
      <c r="D35" s="35"/>
      <c r="E35" s="35"/>
      <c r="F35" s="35"/>
      <c r="G35" s="35"/>
      <c r="H35" s="35"/>
      <c r="I35" s="35"/>
      <c r="J35" s="56"/>
      <c r="K35" s="58"/>
      <c r="L35" s="35"/>
      <c r="M35" s="35"/>
    </row>
    <row r="36" customFormat="false" ht="15" hidden="false" customHeight="true" outlineLevel="0" collapsed="false">
      <c r="A36" s="36"/>
      <c r="B36" s="35"/>
      <c r="C36" s="35"/>
      <c r="D36" s="35"/>
      <c r="E36" s="35"/>
      <c r="F36" s="35"/>
      <c r="G36" s="35"/>
      <c r="H36" s="35"/>
      <c r="I36" s="35"/>
      <c r="J36" s="56"/>
      <c r="K36" s="58"/>
      <c r="L36" s="35"/>
      <c r="M36" s="35"/>
    </row>
    <row r="37" customFormat="false" ht="15" hidden="false" customHeight="true" outlineLevel="0" collapsed="false">
      <c r="A37" s="36"/>
      <c r="B37" s="35"/>
      <c r="C37" s="35"/>
      <c r="D37" s="35"/>
      <c r="E37" s="35"/>
      <c r="F37" s="35"/>
      <c r="G37" s="35"/>
      <c r="H37" s="35"/>
      <c r="I37" s="35"/>
      <c r="J37" s="56"/>
      <c r="K37" s="58"/>
      <c r="L37" s="35"/>
      <c r="M37" s="35"/>
    </row>
    <row r="38" customFormat="false" ht="15" hidden="false" customHeight="true" outlineLevel="0" collapsed="false">
      <c r="A38" s="36"/>
      <c r="B38" s="35"/>
      <c r="C38" s="35"/>
      <c r="D38" s="35"/>
      <c r="E38" s="35"/>
      <c r="F38" s="35"/>
      <c r="G38" s="35"/>
      <c r="H38" s="35"/>
      <c r="I38" s="35"/>
      <c r="J38" s="56"/>
      <c r="K38" s="58"/>
      <c r="L38" s="35"/>
      <c r="M38" s="35"/>
    </row>
    <row r="39" customFormat="false" ht="15" hidden="false" customHeight="true" outlineLevel="0" collapsed="false">
      <c r="A39" s="36"/>
      <c r="B39" s="35"/>
      <c r="C39" s="35"/>
      <c r="D39" s="35"/>
      <c r="E39" s="35"/>
      <c r="F39" s="35"/>
      <c r="G39" s="35"/>
      <c r="H39" s="35"/>
      <c r="I39" s="35"/>
      <c r="J39" s="56"/>
      <c r="K39" s="58"/>
      <c r="L39" s="35"/>
      <c r="M39" s="35"/>
    </row>
    <row r="40" customFormat="false" ht="15" hidden="false" customHeight="true" outlineLevel="0" collapsed="false">
      <c r="A40" s="36"/>
      <c r="B40" s="35"/>
      <c r="C40" s="35"/>
      <c r="D40" s="35"/>
      <c r="E40" s="35"/>
      <c r="F40" s="35"/>
      <c r="G40" s="35"/>
      <c r="H40" s="35"/>
      <c r="I40" s="35"/>
      <c r="J40" s="56"/>
      <c r="K40" s="58"/>
      <c r="L40" s="35"/>
      <c r="M40" s="35"/>
    </row>
    <row r="41" customFormat="false" ht="15" hidden="false" customHeight="true" outlineLevel="0" collapsed="false">
      <c r="A41" s="36"/>
      <c r="B41" s="35"/>
      <c r="C41" s="35"/>
      <c r="D41" s="35"/>
      <c r="E41" s="35"/>
      <c r="F41" s="35"/>
      <c r="G41" s="35"/>
      <c r="H41" s="35"/>
      <c r="I41" s="35"/>
      <c r="J41" s="56"/>
      <c r="K41" s="58"/>
      <c r="L41" s="35"/>
      <c r="M41" s="35"/>
    </row>
    <row r="42" customFormat="false" ht="15" hidden="false" customHeight="true" outlineLevel="0" collapsed="false">
      <c r="A42" s="36"/>
      <c r="B42" s="35"/>
      <c r="C42" s="35"/>
      <c r="D42" s="35"/>
      <c r="E42" s="35"/>
      <c r="F42" s="35"/>
      <c r="G42" s="35"/>
      <c r="H42" s="35"/>
      <c r="I42" s="35"/>
      <c r="J42" s="56"/>
      <c r="K42" s="58"/>
      <c r="L42" s="35"/>
      <c r="M42" s="35"/>
    </row>
    <row r="43" customFormat="false" ht="15" hidden="false" customHeight="true" outlineLevel="0" collapsed="false">
      <c r="A43" s="36"/>
      <c r="B43" s="35"/>
      <c r="C43" s="35"/>
      <c r="D43" s="35"/>
      <c r="E43" s="35"/>
      <c r="F43" s="35"/>
      <c r="G43" s="35"/>
      <c r="H43" s="35"/>
      <c r="I43" s="35"/>
      <c r="J43" s="56"/>
      <c r="K43" s="58"/>
      <c r="L43" s="35"/>
      <c r="M43" s="35"/>
    </row>
    <row r="44" customFormat="false" ht="15" hidden="false" customHeight="true" outlineLevel="0" collapsed="false">
      <c r="A44" s="36"/>
      <c r="B44" s="35"/>
      <c r="C44" s="35"/>
      <c r="D44" s="35"/>
      <c r="E44" s="35"/>
      <c r="F44" s="35"/>
      <c r="G44" s="35"/>
      <c r="H44" s="35"/>
      <c r="I44" s="35"/>
      <c r="J44" s="56"/>
      <c r="K44" s="58"/>
      <c r="L44" s="35"/>
      <c r="M44" s="35"/>
    </row>
    <row r="45" customFormat="false" ht="15" hidden="false" customHeight="true" outlineLevel="0" collapsed="false">
      <c r="A45" s="36"/>
      <c r="B45" s="35"/>
      <c r="C45" s="35"/>
      <c r="D45" s="35"/>
      <c r="E45" s="35"/>
      <c r="F45" s="35"/>
      <c r="G45" s="35"/>
      <c r="H45" s="35"/>
      <c r="I45" s="35"/>
      <c r="J45" s="56"/>
      <c r="K45" s="58"/>
      <c r="L45" s="35"/>
      <c r="M45" s="35"/>
    </row>
    <row r="46" customFormat="false" ht="15" hidden="false" customHeight="true" outlineLevel="0" collapsed="false">
      <c r="A46" s="36"/>
      <c r="B46" s="35"/>
      <c r="C46" s="35"/>
      <c r="D46" s="35"/>
      <c r="E46" s="35"/>
      <c r="F46" s="35"/>
      <c r="G46" s="35"/>
      <c r="H46" s="35"/>
      <c r="I46" s="35"/>
      <c r="J46" s="56"/>
      <c r="K46" s="58"/>
      <c r="L46" s="35"/>
      <c r="M46" s="35"/>
    </row>
    <row r="47" customFormat="false" ht="15" hidden="false" customHeight="true" outlineLevel="0" collapsed="false">
      <c r="A47" s="36"/>
      <c r="B47" s="35"/>
      <c r="C47" s="35"/>
      <c r="D47" s="35"/>
      <c r="E47" s="35"/>
      <c r="F47" s="35"/>
      <c r="G47" s="35"/>
      <c r="H47" s="35"/>
      <c r="I47" s="35"/>
      <c r="J47" s="56"/>
      <c r="K47" s="58"/>
      <c r="L47" s="35"/>
      <c r="M47" s="35"/>
    </row>
    <row r="48" customFormat="false" ht="15" hidden="false" customHeight="true" outlineLevel="0" collapsed="false">
      <c r="A48" s="36"/>
      <c r="B48" s="35"/>
      <c r="C48" s="35"/>
      <c r="D48" s="35"/>
      <c r="E48" s="35"/>
      <c r="F48" s="35"/>
      <c r="G48" s="35"/>
      <c r="H48" s="35"/>
      <c r="I48" s="35"/>
      <c r="J48" s="56"/>
      <c r="K48" s="58"/>
      <c r="L48" s="35"/>
      <c r="M48" s="35"/>
    </row>
    <row r="49" customFormat="false" ht="15" hidden="false" customHeight="true" outlineLevel="0" collapsed="false">
      <c r="A49" s="36"/>
      <c r="B49" s="35"/>
      <c r="C49" s="35"/>
      <c r="D49" s="35"/>
      <c r="E49" s="35"/>
      <c r="F49" s="35"/>
      <c r="G49" s="35"/>
      <c r="H49" s="35"/>
      <c r="I49" s="35"/>
      <c r="J49" s="56"/>
      <c r="K49" s="58"/>
      <c r="L49" s="35"/>
      <c r="M49" s="35"/>
    </row>
    <row r="50" customFormat="false" ht="15" hidden="false" customHeight="true" outlineLevel="0" collapsed="false">
      <c r="A50" s="36"/>
      <c r="B50" s="35"/>
      <c r="C50" s="35"/>
      <c r="D50" s="35"/>
      <c r="E50" s="35"/>
      <c r="F50" s="35"/>
      <c r="G50" s="35"/>
      <c r="H50" s="35"/>
      <c r="I50" s="35"/>
      <c r="J50" s="56"/>
      <c r="K50" s="58"/>
      <c r="L50" s="35"/>
      <c r="M50" s="35"/>
    </row>
    <row r="51" customFormat="false" ht="15" hidden="false" customHeight="true" outlineLevel="0" collapsed="false">
      <c r="A51" s="36"/>
      <c r="B51" s="35"/>
      <c r="C51" s="35"/>
      <c r="D51" s="35"/>
      <c r="E51" s="35"/>
      <c r="F51" s="35"/>
      <c r="G51" s="35"/>
      <c r="H51" s="35"/>
      <c r="I51" s="35"/>
      <c r="J51" s="56"/>
      <c r="K51" s="58"/>
      <c r="L51" s="35"/>
      <c r="M51" s="35"/>
    </row>
    <row r="52" customFormat="false" ht="15" hidden="false" customHeight="true" outlineLevel="0" collapsed="false">
      <c r="A52" s="36"/>
      <c r="B52" s="35"/>
      <c r="C52" s="35"/>
      <c r="D52" s="35"/>
      <c r="E52" s="35"/>
      <c r="F52" s="35"/>
      <c r="G52" s="35"/>
      <c r="H52" s="35"/>
      <c r="I52" s="35"/>
      <c r="J52" s="56"/>
      <c r="K52" s="58"/>
      <c r="L52" s="35"/>
      <c r="M52" s="35"/>
    </row>
    <row r="53" customFormat="false" ht="15" hidden="false" customHeight="true" outlineLevel="0" collapsed="false">
      <c r="A53" s="36"/>
      <c r="B53" s="35"/>
      <c r="C53" s="35"/>
      <c r="D53" s="35"/>
      <c r="E53" s="35"/>
      <c r="F53" s="35"/>
      <c r="G53" s="35"/>
      <c r="H53" s="35"/>
      <c r="I53" s="35"/>
      <c r="J53" s="56"/>
      <c r="K53" s="58"/>
      <c r="L53" s="35"/>
      <c r="M53" s="35"/>
    </row>
    <row r="54" customFormat="false" ht="15" hidden="false" customHeight="true" outlineLevel="0" collapsed="false">
      <c r="A54" s="36"/>
      <c r="B54" s="35"/>
      <c r="C54" s="35"/>
      <c r="D54" s="35"/>
      <c r="E54" s="35"/>
      <c r="F54" s="35"/>
      <c r="G54" s="35"/>
      <c r="H54" s="35"/>
      <c r="I54" s="35"/>
      <c r="J54" s="56"/>
      <c r="K54" s="58"/>
      <c r="L54" s="35"/>
      <c r="M54" s="35"/>
    </row>
    <row r="55" customFormat="false" ht="15" hidden="false" customHeight="true" outlineLevel="0" collapsed="false">
      <c r="A55" s="36"/>
      <c r="B55" s="35"/>
      <c r="C55" s="35"/>
      <c r="D55" s="35"/>
      <c r="E55" s="35"/>
      <c r="F55" s="35"/>
      <c r="G55" s="35"/>
      <c r="H55" s="35"/>
      <c r="I55" s="35"/>
      <c r="J55" s="56"/>
      <c r="K55" s="58"/>
      <c r="L55" s="35"/>
      <c r="M55" s="35"/>
    </row>
    <row r="56" customFormat="false" ht="15" hidden="false" customHeight="true" outlineLevel="0" collapsed="false">
      <c r="A56" s="36"/>
      <c r="B56" s="35"/>
      <c r="C56" s="35"/>
      <c r="D56" s="35"/>
      <c r="E56" s="35"/>
      <c r="F56" s="35"/>
      <c r="G56" s="35"/>
      <c r="H56" s="35"/>
      <c r="I56" s="35"/>
      <c r="J56" s="56"/>
      <c r="K56" s="58"/>
      <c r="L56" s="35"/>
      <c r="M56" s="35"/>
    </row>
    <row r="57" customFormat="false" ht="15" hidden="false" customHeight="true" outlineLevel="0" collapsed="false">
      <c r="A57" s="36"/>
      <c r="B57" s="35"/>
      <c r="C57" s="35"/>
      <c r="D57" s="35"/>
      <c r="E57" s="35"/>
      <c r="F57" s="35"/>
      <c r="G57" s="35"/>
      <c r="H57" s="35"/>
      <c r="I57" s="35"/>
      <c r="J57" s="56"/>
      <c r="K57" s="58"/>
      <c r="L57" s="35"/>
      <c r="M57" s="35"/>
    </row>
    <row r="58" customFormat="false" ht="15" hidden="false" customHeight="true" outlineLevel="0" collapsed="false">
      <c r="A58" s="36"/>
      <c r="B58" s="35"/>
      <c r="C58" s="35"/>
      <c r="D58" s="35"/>
      <c r="E58" s="35"/>
      <c r="F58" s="35"/>
      <c r="G58" s="35"/>
      <c r="H58" s="35"/>
      <c r="I58" s="35"/>
      <c r="J58" s="56"/>
      <c r="K58" s="58"/>
      <c r="L58" s="35"/>
      <c r="M58" s="35"/>
    </row>
    <row r="59" customFormat="false" ht="15" hidden="false" customHeight="true" outlineLevel="0" collapsed="false">
      <c r="A59" s="36"/>
      <c r="B59" s="35"/>
      <c r="C59" s="35"/>
      <c r="D59" s="35"/>
      <c r="E59" s="35"/>
      <c r="F59" s="35"/>
      <c r="G59" s="35"/>
      <c r="H59" s="35"/>
      <c r="I59" s="35"/>
      <c r="J59" s="56"/>
      <c r="K59" s="58"/>
      <c r="L59" s="35"/>
      <c r="M59" s="35"/>
    </row>
    <row r="60" customFormat="false" ht="15" hidden="false" customHeight="true" outlineLevel="0" collapsed="false">
      <c r="A60" s="36"/>
      <c r="B60" s="35"/>
      <c r="C60" s="35"/>
      <c r="D60" s="35"/>
      <c r="E60" s="35"/>
      <c r="F60" s="35"/>
      <c r="G60" s="35"/>
      <c r="H60" s="35"/>
      <c r="I60" s="35"/>
      <c r="J60" s="56"/>
      <c r="K60" s="58"/>
      <c r="L60" s="35"/>
      <c r="M60" s="35"/>
    </row>
    <row r="61" customFormat="false" ht="15" hidden="false" customHeight="true" outlineLevel="0" collapsed="false">
      <c r="A61" s="36"/>
      <c r="B61" s="35"/>
      <c r="C61" s="35"/>
      <c r="D61" s="35"/>
      <c r="E61" s="35"/>
      <c r="F61" s="35"/>
      <c r="G61" s="35"/>
      <c r="H61" s="35"/>
      <c r="I61" s="35"/>
      <c r="J61" s="56"/>
      <c r="K61" s="58"/>
      <c r="L61" s="35"/>
      <c r="M61" s="35"/>
    </row>
    <row r="62" customFormat="false" ht="15" hidden="false" customHeight="true" outlineLevel="0" collapsed="false">
      <c r="A62" s="36"/>
      <c r="B62" s="35"/>
      <c r="C62" s="35"/>
      <c r="D62" s="35"/>
      <c r="E62" s="35"/>
      <c r="F62" s="35"/>
      <c r="G62" s="35"/>
      <c r="H62" s="35"/>
      <c r="I62" s="35"/>
      <c r="J62" s="56"/>
      <c r="K62" s="58"/>
      <c r="L62" s="35"/>
      <c r="M62" s="35"/>
    </row>
    <row r="63" customFormat="false" ht="15" hidden="false" customHeight="true" outlineLevel="0" collapsed="false">
      <c r="A63" s="36"/>
      <c r="B63" s="35"/>
      <c r="C63" s="35"/>
      <c r="D63" s="35"/>
      <c r="E63" s="35"/>
      <c r="F63" s="35"/>
      <c r="G63" s="35"/>
      <c r="H63" s="35"/>
      <c r="I63" s="35"/>
      <c r="J63" s="56"/>
      <c r="K63" s="58"/>
      <c r="L63" s="35"/>
      <c r="M63" s="35"/>
    </row>
    <row r="64" customFormat="false" ht="15" hidden="false" customHeight="true" outlineLevel="0" collapsed="false">
      <c r="A64" s="36"/>
      <c r="B64" s="35"/>
      <c r="C64" s="35"/>
      <c r="D64" s="35"/>
      <c r="E64" s="35"/>
      <c r="F64" s="35"/>
      <c r="G64" s="35"/>
      <c r="H64" s="35"/>
      <c r="I64" s="35"/>
      <c r="J64" s="56"/>
      <c r="K64" s="58"/>
      <c r="L64" s="35"/>
      <c r="M64" s="35"/>
    </row>
    <row r="65" customFormat="false" ht="15" hidden="false" customHeight="true" outlineLevel="0" collapsed="false">
      <c r="A65" s="36"/>
      <c r="B65" s="35"/>
      <c r="C65" s="35"/>
      <c r="D65" s="35"/>
      <c r="E65" s="35"/>
      <c r="F65" s="35"/>
      <c r="G65" s="35"/>
      <c r="H65" s="35"/>
      <c r="I65" s="35"/>
      <c r="J65" s="56"/>
      <c r="K65" s="58"/>
      <c r="L65" s="35"/>
      <c r="M65" s="35"/>
    </row>
    <row r="66" customFormat="false" ht="15" hidden="false" customHeight="true" outlineLevel="0" collapsed="false">
      <c r="A66" s="36"/>
      <c r="B66" s="35"/>
      <c r="C66" s="35"/>
      <c r="D66" s="35"/>
      <c r="E66" s="35"/>
      <c r="F66" s="35"/>
      <c r="G66" s="35"/>
      <c r="H66" s="35"/>
      <c r="I66" s="35"/>
      <c r="J66" s="56"/>
      <c r="K66" s="58"/>
      <c r="L66" s="35"/>
      <c r="M66" s="35"/>
    </row>
    <row r="67" customFormat="false" ht="15" hidden="false" customHeight="true" outlineLevel="0" collapsed="false">
      <c r="A67" s="36"/>
      <c r="B67" s="35"/>
      <c r="C67" s="35"/>
      <c r="D67" s="35"/>
      <c r="E67" s="35"/>
      <c r="F67" s="35"/>
      <c r="G67" s="35"/>
      <c r="H67" s="35"/>
      <c r="I67" s="35"/>
      <c r="J67" s="56"/>
      <c r="K67" s="58"/>
      <c r="L67" s="35"/>
      <c r="M67" s="35"/>
    </row>
    <row r="68" customFormat="false" ht="15" hidden="false" customHeight="true" outlineLevel="0" collapsed="false">
      <c r="A68" s="36"/>
      <c r="B68" s="35"/>
      <c r="C68" s="35"/>
      <c r="D68" s="35"/>
      <c r="E68" s="35"/>
      <c r="F68" s="35"/>
      <c r="G68" s="35"/>
      <c r="H68" s="35"/>
      <c r="I68" s="35"/>
      <c r="J68" s="56"/>
      <c r="K68" s="58"/>
      <c r="L68" s="35"/>
      <c r="M68" s="35"/>
    </row>
    <row r="69" customFormat="false" ht="15" hidden="false" customHeight="true" outlineLevel="0" collapsed="false">
      <c r="A69" s="36"/>
      <c r="B69" s="35"/>
      <c r="C69" s="35"/>
      <c r="D69" s="35"/>
      <c r="E69" s="35"/>
      <c r="F69" s="35"/>
      <c r="G69" s="35"/>
      <c r="H69" s="35"/>
      <c r="I69" s="35"/>
      <c r="J69" s="56"/>
      <c r="K69" s="58"/>
      <c r="L69" s="35"/>
      <c r="M69" s="35"/>
    </row>
    <row r="70" customFormat="false" ht="15" hidden="false" customHeight="true" outlineLevel="0" collapsed="false">
      <c r="A70" s="36"/>
      <c r="B70" s="35"/>
      <c r="C70" s="35"/>
      <c r="D70" s="35"/>
      <c r="E70" s="35"/>
      <c r="F70" s="35"/>
      <c r="G70" s="35"/>
      <c r="H70" s="35"/>
      <c r="I70" s="35"/>
      <c r="J70" s="56"/>
      <c r="K70" s="58"/>
      <c r="L70" s="35"/>
      <c r="M70" s="35"/>
    </row>
    <row r="71" customFormat="false" ht="15" hidden="false" customHeight="true" outlineLevel="0" collapsed="false">
      <c r="A71" s="36"/>
      <c r="B71" s="35"/>
      <c r="C71" s="35"/>
      <c r="D71" s="35"/>
      <c r="E71" s="35"/>
      <c r="F71" s="35"/>
      <c r="G71" s="35"/>
      <c r="H71" s="35"/>
      <c r="I71" s="35"/>
      <c r="J71" s="56"/>
      <c r="K71" s="58"/>
      <c r="L71" s="35"/>
      <c r="M71" s="35"/>
    </row>
    <row r="72" customFormat="false" ht="15" hidden="false" customHeight="true" outlineLevel="0" collapsed="false">
      <c r="A72" s="36"/>
      <c r="B72" s="35"/>
      <c r="C72" s="35"/>
      <c r="D72" s="35"/>
      <c r="E72" s="35"/>
      <c r="F72" s="35"/>
      <c r="G72" s="35"/>
      <c r="H72" s="35"/>
      <c r="I72" s="35"/>
      <c r="J72" s="56"/>
      <c r="K72" s="58"/>
      <c r="L72" s="35"/>
      <c r="M72" s="35"/>
    </row>
    <row r="73" customFormat="false" ht="15" hidden="false" customHeight="true" outlineLevel="0" collapsed="false">
      <c r="A73" s="36"/>
      <c r="B73" s="35"/>
      <c r="C73" s="35"/>
      <c r="D73" s="35"/>
      <c r="E73" s="35"/>
      <c r="F73" s="35"/>
      <c r="G73" s="35"/>
      <c r="H73" s="35"/>
      <c r="I73" s="35"/>
      <c r="J73" s="56"/>
      <c r="K73" s="58"/>
      <c r="L73" s="35"/>
      <c r="M73" s="35"/>
    </row>
    <row r="74" customFormat="false" ht="15" hidden="false" customHeight="true" outlineLevel="0" collapsed="false">
      <c r="A74" s="36"/>
      <c r="B74" s="35"/>
      <c r="C74" s="35"/>
      <c r="D74" s="35"/>
      <c r="E74" s="35"/>
      <c r="F74" s="35"/>
      <c r="G74" s="35"/>
      <c r="H74" s="35"/>
      <c r="I74" s="35"/>
      <c r="J74" s="56"/>
      <c r="K74" s="58"/>
      <c r="L74" s="35"/>
      <c r="M74" s="35"/>
    </row>
    <row r="75" customFormat="false" ht="15" hidden="false" customHeight="true" outlineLevel="0" collapsed="false">
      <c r="A75" s="36"/>
      <c r="B75" s="35"/>
      <c r="C75" s="35"/>
      <c r="D75" s="35"/>
      <c r="E75" s="35"/>
      <c r="F75" s="35"/>
      <c r="G75" s="35"/>
      <c r="H75" s="35"/>
      <c r="I75" s="35"/>
      <c r="J75" s="56"/>
      <c r="K75" s="58"/>
      <c r="L75" s="35"/>
      <c r="M75" s="35"/>
    </row>
    <row r="76" customFormat="false" ht="15" hidden="false" customHeight="true" outlineLevel="0" collapsed="false">
      <c r="A76" s="36"/>
      <c r="B76" s="35"/>
      <c r="C76" s="35"/>
      <c r="D76" s="35"/>
      <c r="E76" s="35"/>
      <c r="F76" s="35"/>
      <c r="G76" s="35"/>
      <c r="H76" s="35"/>
      <c r="I76" s="35"/>
      <c r="J76" s="56"/>
      <c r="K76" s="58"/>
      <c r="L76" s="35"/>
      <c r="M76" s="35"/>
    </row>
    <row r="77" customFormat="false" ht="15" hidden="false" customHeight="true" outlineLevel="0" collapsed="false">
      <c r="A77" s="36"/>
      <c r="B77" s="35"/>
      <c r="C77" s="35"/>
      <c r="D77" s="35"/>
      <c r="E77" s="35"/>
      <c r="F77" s="35"/>
      <c r="G77" s="35"/>
      <c r="H77" s="35"/>
      <c r="I77" s="35"/>
      <c r="J77" s="56"/>
      <c r="K77" s="58"/>
      <c r="L77" s="35"/>
      <c r="M77" s="35"/>
    </row>
    <row r="78" customFormat="false" ht="15" hidden="false" customHeight="true" outlineLevel="0" collapsed="false">
      <c r="A78" s="36"/>
      <c r="B78" s="35"/>
      <c r="C78" s="35"/>
      <c r="D78" s="35"/>
      <c r="E78" s="35"/>
      <c r="F78" s="35"/>
      <c r="G78" s="35"/>
      <c r="H78" s="35"/>
      <c r="I78" s="35"/>
      <c r="J78" s="56"/>
      <c r="K78" s="58"/>
      <c r="L78" s="35"/>
      <c r="M78" s="35"/>
    </row>
    <row r="79" customFormat="false" ht="15" hidden="false" customHeight="true" outlineLevel="0" collapsed="false">
      <c r="A79" s="36"/>
      <c r="B79" s="35"/>
      <c r="C79" s="35"/>
      <c r="D79" s="35"/>
      <c r="E79" s="35"/>
      <c r="F79" s="35"/>
      <c r="G79" s="35"/>
      <c r="H79" s="35"/>
      <c r="I79" s="35"/>
      <c r="J79" s="56"/>
      <c r="K79" s="58"/>
      <c r="L79" s="35"/>
      <c r="M79" s="35"/>
    </row>
    <row r="80" customFormat="false" ht="15" hidden="false" customHeight="true" outlineLevel="0" collapsed="false">
      <c r="A80" s="36"/>
      <c r="B80" s="35"/>
      <c r="C80" s="35"/>
      <c r="D80" s="35"/>
      <c r="E80" s="35"/>
      <c r="F80" s="35"/>
      <c r="G80" s="35"/>
      <c r="H80" s="35"/>
      <c r="I80" s="35"/>
      <c r="J80" s="56"/>
      <c r="K80" s="58"/>
      <c r="L80" s="35"/>
      <c r="M80" s="35"/>
    </row>
    <row r="81" customFormat="false" ht="15" hidden="false" customHeight="true" outlineLevel="0" collapsed="false">
      <c r="A81" s="36"/>
      <c r="B81" s="35"/>
      <c r="C81" s="35"/>
      <c r="D81" s="35"/>
      <c r="E81" s="35"/>
      <c r="F81" s="35"/>
      <c r="G81" s="35"/>
      <c r="H81" s="35"/>
      <c r="I81" s="35"/>
      <c r="J81" s="56"/>
      <c r="K81" s="58"/>
      <c r="L81" s="35"/>
      <c r="M81" s="35"/>
    </row>
    <row r="82" customFormat="false" ht="15" hidden="false" customHeight="true" outlineLevel="0" collapsed="false">
      <c r="A82" s="36"/>
      <c r="B82" s="35"/>
      <c r="C82" s="35"/>
      <c r="D82" s="35"/>
      <c r="E82" s="35"/>
      <c r="F82" s="35"/>
      <c r="G82" s="35"/>
      <c r="H82" s="35"/>
      <c r="I82" s="35"/>
      <c r="J82" s="56"/>
      <c r="K82" s="58"/>
      <c r="L82" s="35"/>
      <c r="M82" s="35"/>
    </row>
    <row r="83" customFormat="false" ht="15" hidden="false" customHeight="true" outlineLevel="0" collapsed="false">
      <c r="A83" s="36"/>
      <c r="B83" s="35"/>
      <c r="C83" s="35"/>
      <c r="D83" s="35"/>
      <c r="E83" s="35"/>
      <c r="F83" s="35"/>
      <c r="G83" s="35"/>
      <c r="H83" s="35"/>
      <c r="I83" s="35"/>
      <c r="J83" s="56"/>
      <c r="K83" s="58"/>
      <c r="L83" s="35"/>
      <c r="M83" s="35"/>
    </row>
    <row r="84" customFormat="false" ht="15" hidden="false" customHeight="true" outlineLevel="0" collapsed="false">
      <c r="A84" s="36"/>
      <c r="B84" s="35"/>
      <c r="C84" s="35"/>
      <c r="D84" s="35"/>
      <c r="E84" s="35"/>
      <c r="F84" s="35"/>
      <c r="G84" s="35"/>
      <c r="H84" s="35"/>
      <c r="I84" s="35"/>
      <c r="J84" s="56"/>
      <c r="K84" s="58"/>
      <c r="L84" s="35"/>
      <c r="M84" s="35"/>
    </row>
    <row r="85" customFormat="false" ht="15" hidden="false" customHeight="true" outlineLevel="0" collapsed="false">
      <c r="A85" s="36"/>
      <c r="B85" s="35"/>
      <c r="C85" s="35"/>
      <c r="D85" s="35"/>
      <c r="E85" s="35"/>
      <c r="F85" s="35"/>
      <c r="G85" s="35"/>
      <c r="H85" s="35"/>
      <c r="I85" s="35"/>
      <c r="J85" s="56"/>
      <c r="K85" s="58"/>
      <c r="L85" s="35"/>
      <c r="M85" s="35"/>
    </row>
    <row r="86" customFormat="false" ht="15" hidden="false" customHeight="true" outlineLevel="0" collapsed="false">
      <c r="A86" s="36"/>
      <c r="B86" s="35"/>
      <c r="C86" s="35"/>
      <c r="D86" s="35"/>
      <c r="E86" s="35"/>
      <c r="F86" s="35"/>
      <c r="G86" s="35"/>
      <c r="H86" s="35"/>
      <c r="I86" s="35"/>
      <c r="J86" s="56"/>
      <c r="K86" s="58"/>
      <c r="L86" s="35"/>
      <c r="M86" s="35"/>
    </row>
    <row r="87" customFormat="false" ht="15" hidden="false" customHeight="true" outlineLevel="0" collapsed="false">
      <c r="A87" s="36"/>
      <c r="B87" s="35"/>
      <c r="C87" s="35"/>
      <c r="D87" s="35"/>
      <c r="E87" s="35"/>
      <c r="F87" s="35"/>
      <c r="G87" s="35"/>
      <c r="H87" s="35"/>
      <c r="I87" s="35"/>
      <c r="J87" s="56"/>
      <c r="K87" s="58"/>
      <c r="L87" s="35"/>
      <c r="M87" s="35"/>
    </row>
    <row r="88" customFormat="false" ht="15" hidden="false" customHeight="true" outlineLevel="0" collapsed="false">
      <c r="A88" s="36"/>
      <c r="B88" s="35"/>
      <c r="C88" s="35"/>
      <c r="D88" s="35"/>
      <c r="E88" s="35"/>
      <c r="F88" s="35"/>
      <c r="G88" s="35"/>
      <c r="H88" s="35"/>
      <c r="I88" s="35"/>
      <c r="J88" s="56"/>
      <c r="K88" s="58"/>
      <c r="L88" s="35"/>
      <c r="M88" s="35"/>
    </row>
    <row r="89" customFormat="false" ht="15" hidden="false" customHeight="true" outlineLevel="0" collapsed="false">
      <c r="A89" s="36"/>
      <c r="B89" s="35"/>
      <c r="C89" s="35"/>
      <c r="D89" s="35"/>
      <c r="E89" s="35"/>
      <c r="F89" s="35"/>
      <c r="G89" s="35"/>
      <c r="H89" s="35"/>
      <c r="I89" s="35"/>
      <c r="J89" s="56"/>
      <c r="K89" s="58"/>
      <c r="L89" s="35"/>
      <c r="M89" s="35"/>
    </row>
    <row r="90" customFormat="false" ht="15" hidden="false" customHeight="true" outlineLevel="0" collapsed="false">
      <c r="A90" s="36"/>
      <c r="B90" s="35"/>
      <c r="C90" s="35"/>
      <c r="D90" s="35"/>
      <c r="E90" s="35"/>
      <c r="F90" s="35"/>
      <c r="G90" s="35"/>
      <c r="H90" s="35"/>
      <c r="I90" s="35"/>
      <c r="J90" s="56"/>
      <c r="K90" s="58"/>
      <c r="L90" s="35"/>
      <c r="M90" s="35"/>
    </row>
    <row r="91" customFormat="false" ht="15" hidden="false" customHeight="true" outlineLevel="0" collapsed="false">
      <c r="A91" s="36"/>
      <c r="B91" s="35"/>
      <c r="C91" s="35"/>
      <c r="D91" s="35"/>
      <c r="E91" s="35"/>
      <c r="F91" s="35"/>
      <c r="G91" s="35"/>
      <c r="H91" s="35"/>
      <c r="I91" s="35"/>
      <c r="J91" s="56"/>
      <c r="K91" s="58"/>
      <c r="L91" s="35"/>
      <c r="M91" s="35"/>
    </row>
    <row r="92" customFormat="false" ht="15" hidden="false" customHeight="true" outlineLevel="0" collapsed="false">
      <c r="A92" s="36"/>
      <c r="B92" s="35"/>
      <c r="C92" s="35"/>
      <c r="D92" s="35"/>
      <c r="E92" s="35"/>
      <c r="F92" s="35"/>
      <c r="G92" s="35"/>
      <c r="H92" s="35"/>
      <c r="I92" s="35"/>
      <c r="J92" s="56"/>
      <c r="K92" s="58"/>
      <c r="L92" s="35"/>
      <c r="M92" s="35"/>
    </row>
    <row r="93" customFormat="false" ht="15" hidden="false" customHeight="true" outlineLevel="0" collapsed="false">
      <c r="A93" s="36"/>
      <c r="B93" s="35"/>
      <c r="C93" s="35"/>
      <c r="D93" s="35"/>
      <c r="E93" s="35"/>
      <c r="F93" s="35"/>
      <c r="G93" s="35"/>
      <c r="H93" s="35"/>
      <c r="I93" s="35"/>
      <c r="J93" s="56"/>
      <c r="K93" s="58"/>
      <c r="L93" s="35"/>
      <c r="M93" s="35"/>
    </row>
    <row r="94" customFormat="false" ht="15" hidden="false" customHeight="true" outlineLevel="0" collapsed="false">
      <c r="A94" s="36"/>
      <c r="B94" s="35"/>
      <c r="C94" s="35"/>
      <c r="D94" s="35"/>
      <c r="E94" s="35"/>
      <c r="F94" s="35"/>
      <c r="G94" s="35"/>
      <c r="H94" s="35"/>
      <c r="I94" s="35"/>
      <c r="J94" s="56"/>
      <c r="K94" s="58"/>
      <c r="L94" s="35"/>
      <c r="M94" s="35"/>
    </row>
    <row r="95" customFormat="false" ht="15" hidden="false" customHeight="true" outlineLevel="0" collapsed="false">
      <c r="A95" s="36"/>
      <c r="B95" s="35"/>
      <c r="C95" s="35"/>
      <c r="D95" s="35"/>
      <c r="E95" s="35"/>
      <c r="F95" s="35"/>
      <c r="G95" s="35"/>
      <c r="H95" s="35"/>
      <c r="I95" s="35"/>
      <c r="J95" s="56"/>
      <c r="K95" s="58"/>
      <c r="L95" s="35"/>
      <c r="M95" s="35"/>
    </row>
    <row r="96" customFormat="false" ht="15" hidden="false" customHeight="true" outlineLevel="0" collapsed="false">
      <c r="A96" s="36"/>
      <c r="B96" s="35"/>
      <c r="C96" s="35"/>
      <c r="D96" s="35"/>
      <c r="E96" s="35"/>
      <c r="F96" s="35"/>
      <c r="G96" s="35"/>
      <c r="H96" s="35"/>
      <c r="I96" s="35"/>
      <c r="J96" s="56"/>
      <c r="K96" s="58"/>
      <c r="L96" s="35"/>
      <c r="M96" s="35"/>
    </row>
    <row r="97" customFormat="false" ht="15" hidden="false" customHeight="true" outlineLevel="0" collapsed="false">
      <c r="A97" s="36"/>
      <c r="B97" s="35"/>
      <c r="C97" s="35"/>
      <c r="D97" s="35"/>
      <c r="E97" s="35"/>
      <c r="F97" s="35"/>
      <c r="G97" s="35"/>
      <c r="H97" s="35"/>
      <c r="I97" s="35"/>
      <c r="J97" s="56"/>
      <c r="K97" s="58"/>
      <c r="L97" s="35"/>
      <c r="M97" s="35"/>
    </row>
    <row r="98" customFormat="false" ht="15" hidden="false" customHeight="true" outlineLevel="0" collapsed="false">
      <c r="A98" s="36"/>
      <c r="B98" s="35"/>
      <c r="C98" s="35"/>
      <c r="D98" s="35"/>
      <c r="E98" s="35"/>
      <c r="F98" s="35"/>
      <c r="G98" s="35"/>
      <c r="H98" s="35"/>
      <c r="I98" s="35"/>
      <c r="J98" s="56"/>
      <c r="K98" s="58"/>
      <c r="L98" s="35"/>
      <c r="M98" s="35"/>
    </row>
    <row r="99" customFormat="false" ht="15" hidden="false" customHeight="true" outlineLevel="0" collapsed="false">
      <c r="A99" s="36"/>
      <c r="B99" s="35"/>
      <c r="C99" s="35"/>
      <c r="D99" s="35"/>
      <c r="E99" s="35"/>
      <c r="F99" s="35"/>
      <c r="G99" s="35"/>
      <c r="H99" s="35"/>
      <c r="I99" s="35"/>
      <c r="J99" s="56"/>
      <c r="K99" s="58"/>
      <c r="L99" s="35"/>
      <c r="M99" s="35"/>
    </row>
    <row r="100" customFormat="false" ht="15" hidden="false" customHeight="true" outlineLevel="0" collapsed="false">
      <c r="A100" s="36"/>
      <c r="B100" s="35"/>
      <c r="C100" s="35"/>
      <c r="D100" s="35"/>
      <c r="E100" s="35"/>
      <c r="F100" s="35"/>
      <c r="G100" s="35"/>
      <c r="H100" s="35"/>
      <c r="I100" s="35"/>
      <c r="J100" s="56"/>
      <c r="K100" s="58"/>
      <c r="L100" s="35"/>
      <c r="M100" s="35"/>
    </row>
    <row r="101" customFormat="false" ht="15" hidden="false" customHeight="true" outlineLevel="0" collapsed="false">
      <c r="A101" s="36"/>
      <c r="B101" s="35"/>
      <c r="C101" s="35"/>
      <c r="D101" s="35"/>
      <c r="E101" s="35"/>
      <c r="F101" s="35"/>
      <c r="G101" s="35"/>
      <c r="H101" s="35"/>
      <c r="I101" s="35"/>
      <c r="J101" s="56"/>
      <c r="K101" s="58"/>
      <c r="L101" s="35"/>
      <c r="M101" s="35"/>
    </row>
    <row r="102" customFormat="false" ht="15" hidden="false" customHeight="true" outlineLevel="0" collapsed="false">
      <c r="A102" s="36"/>
      <c r="B102" s="35"/>
      <c r="C102" s="35"/>
      <c r="D102" s="35"/>
      <c r="E102" s="35"/>
      <c r="F102" s="35"/>
      <c r="G102" s="35"/>
      <c r="H102" s="35"/>
      <c r="I102" s="35"/>
      <c r="J102" s="56"/>
      <c r="K102" s="58"/>
      <c r="L102" s="35"/>
      <c r="M102" s="35"/>
    </row>
    <row r="103" customFormat="false" ht="15" hidden="false" customHeight="true" outlineLevel="0" collapsed="false">
      <c r="A103" s="36"/>
      <c r="B103" s="35"/>
      <c r="C103" s="35"/>
      <c r="D103" s="35"/>
      <c r="E103" s="35"/>
      <c r="F103" s="35"/>
      <c r="G103" s="35"/>
      <c r="H103" s="35"/>
      <c r="I103" s="35"/>
      <c r="J103" s="56"/>
      <c r="K103" s="58"/>
      <c r="L103" s="35"/>
      <c r="M103" s="35"/>
    </row>
    <row r="104" customFormat="false" ht="15" hidden="false" customHeight="true" outlineLevel="0" collapsed="false">
      <c r="A104" s="36"/>
      <c r="B104" s="35"/>
      <c r="C104" s="35"/>
      <c r="D104" s="35"/>
      <c r="E104" s="35"/>
      <c r="F104" s="35"/>
      <c r="G104" s="35"/>
      <c r="H104" s="35"/>
      <c r="I104" s="35"/>
      <c r="J104" s="56"/>
      <c r="K104" s="58"/>
      <c r="L104" s="35"/>
      <c r="M104" s="35"/>
    </row>
    <row r="105" customFormat="false" ht="15" hidden="false" customHeight="true" outlineLevel="0" collapsed="false">
      <c r="A105" s="36"/>
      <c r="B105" s="35"/>
      <c r="C105" s="35"/>
      <c r="D105" s="35"/>
      <c r="E105" s="35"/>
      <c r="F105" s="35"/>
      <c r="G105" s="35"/>
      <c r="H105" s="35"/>
      <c r="I105" s="35"/>
      <c r="J105" s="56"/>
      <c r="K105" s="58"/>
      <c r="L105" s="35"/>
      <c r="M105" s="35"/>
    </row>
    <row r="106" customFormat="false" ht="15" hidden="false" customHeight="true" outlineLevel="0" collapsed="false">
      <c r="A106" s="36"/>
      <c r="B106" s="35"/>
      <c r="C106" s="35"/>
      <c r="D106" s="35"/>
      <c r="E106" s="35"/>
      <c r="F106" s="35"/>
      <c r="G106" s="35"/>
      <c r="H106" s="35"/>
      <c r="I106" s="35"/>
      <c r="J106" s="56"/>
      <c r="K106" s="58"/>
      <c r="L106" s="35"/>
      <c r="M106" s="35"/>
    </row>
    <row r="107" customFormat="false" ht="15" hidden="false" customHeight="true" outlineLevel="0" collapsed="false">
      <c r="A107" s="36"/>
      <c r="B107" s="35"/>
      <c r="C107" s="35"/>
      <c r="D107" s="35"/>
      <c r="E107" s="35"/>
      <c r="F107" s="35"/>
      <c r="G107" s="35"/>
      <c r="H107" s="35"/>
      <c r="I107" s="35"/>
      <c r="J107" s="56"/>
      <c r="K107" s="58"/>
      <c r="L107" s="35"/>
      <c r="M107" s="35"/>
    </row>
    <row r="108" customFormat="false" ht="15" hidden="false" customHeight="true" outlineLevel="0" collapsed="false">
      <c r="A108" s="36"/>
      <c r="B108" s="35"/>
      <c r="C108" s="35"/>
      <c r="D108" s="35"/>
      <c r="E108" s="35"/>
      <c r="F108" s="35"/>
      <c r="G108" s="35"/>
      <c r="H108" s="35"/>
      <c r="I108" s="35"/>
      <c r="J108" s="56"/>
      <c r="K108" s="58"/>
      <c r="L108" s="35"/>
      <c r="M108" s="35"/>
    </row>
    <row r="109" customFormat="false" ht="15" hidden="false" customHeight="true" outlineLevel="0" collapsed="false">
      <c r="A109" s="36"/>
      <c r="B109" s="35"/>
      <c r="C109" s="35"/>
      <c r="D109" s="35"/>
      <c r="E109" s="35"/>
      <c r="F109" s="35"/>
      <c r="G109" s="35"/>
      <c r="H109" s="35"/>
      <c r="I109" s="35"/>
      <c r="J109" s="56"/>
      <c r="K109" s="58"/>
      <c r="L109" s="35"/>
      <c r="M109" s="35"/>
    </row>
    <row r="110" customFormat="false" ht="15" hidden="false" customHeight="true" outlineLevel="0" collapsed="false">
      <c r="A110" s="36"/>
      <c r="B110" s="35"/>
      <c r="C110" s="35"/>
      <c r="D110" s="35"/>
      <c r="E110" s="35"/>
      <c r="F110" s="35"/>
      <c r="G110" s="35"/>
      <c r="H110" s="35"/>
      <c r="I110" s="35"/>
      <c r="J110" s="56"/>
      <c r="K110" s="58"/>
      <c r="L110" s="35"/>
      <c r="M110" s="35"/>
    </row>
    <row r="111" customFormat="false" ht="15" hidden="false" customHeight="true" outlineLevel="0" collapsed="false">
      <c r="A111" s="36"/>
      <c r="B111" s="35"/>
      <c r="C111" s="35"/>
      <c r="D111" s="35"/>
      <c r="E111" s="35"/>
      <c r="F111" s="35"/>
      <c r="G111" s="35"/>
      <c r="H111" s="35"/>
      <c r="I111" s="35"/>
      <c r="J111" s="56"/>
      <c r="K111" s="58"/>
      <c r="L111" s="35"/>
      <c r="M111" s="35"/>
    </row>
    <row r="112" customFormat="false" ht="15" hidden="false" customHeight="true" outlineLevel="0" collapsed="false">
      <c r="A112" s="36"/>
      <c r="B112" s="35"/>
      <c r="C112" s="35"/>
      <c r="D112" s="35"/>
      <c r="E112" s="35"/>
      <c r="F112" s="35"/>
      <c r="G112" s="35"/>
      <c r="H112" s="35"/>
      <c r="I112" s="35"/>
      <c r="J112" s="56"/>
      <c r="K112" s="58"/>
      <c r="L112" s="35"/>
      <c r="M112" s="35"/>
    </row>
    <row r="113" customFormat="false" ht="15" hidden="false" customHeight="true" outlineLevel="0" collapsed="false">
      <c r="A113" s="36"/>
      <c r="B113" s="35"/>
      <c r="C113" s="35"/>
      <c r="D113" s="35"/>
      <c r="E113" s="35"/>
      <c r="F113" s="35"/>
      <c r="G113" s="35"/>
      <c r="H113" s="35"/>
      <c r="I113" s="35"/>
      <c r="J113" s="56"/>
      <c r="K113" s="58"/>
      <c r="L113" s="35"/>
      <c r="M113" s="35"/>
    </row>
    <row r="114" customFormat="false" ht="15" hidden="false" customHeight="true" outlineLevel="0" collapsed="false">
      <c r="A114" s="36"/>
      <c r="B114" s="35"/>
      <c r="C114" s="35"/>
      <c r="D114" s="35"/>
      <c r="E114" s="35"/>
      <c r="F114" s="35"/>
      <c r="G114" s="35"/>
      <c r="H114" s="35"/>
      <c r="I114" s="35"/>
      <c r="J114" s="56"/>
      <c r="K114" s="58"/>
      <c r="L114" s="35"/>
      <c r="M114" s="35"/>
    </row>
    <row r="115" customFormat="false" ht="15" hidden="false" customHeight="true" outlineLevel="0" collapsed="false">
      <c r="A115" s="36"/>
      <c r="B115" s="35"/>
      <c r="C115" s="35"/>
      <c r="D115" s="35"/>
      <c r="E115" s="35"/>
      <c r="F115" s="35"/>
      <c r="G115" s="35"/>
      <c r="H115" s="35"/>
      <c r="I115" s="35"/>
      <c r="J115" s="56"/>
      <c r="K115" s="58"/>
      <c r="L115" s="35"/>
      <c r="M115" s="35"/>
    </row>
    <row r="116" customFormat="false" ht="15" hidden="false" customHeight="true" outlineLevel="0" collapsed="false">
      <c r="A116" s="36"/>
      <c r="B116" s="35"/>
      <c r="C116" s="35"/>
      <c r="D116" s="35"/>
      <c r="E116" s="35"/>
      <c r="F116" s="35"/>
      <c r="G116" s="35"/>
      <c r="H116" s="35"/>
      <c r="I116" s="35"/>
      <c r="J116" s="56"/>
      <c r="K116" s="58"/>
      <c r="L116" s="35"/>
      <c r="M116" s="35"/>
    </row>
    <row r="117" customFormat="false" ht="15" hidden="false" customHeight="true" outlineLevel="0" collapsed="false">
      <c r="A117" s="36"/>
      <c r="B117" s="35"/>
      <c r="C117" s="35"/>
      <c r="D117" s="35"/>
      <c r="E117" s="35"/>
      <c r="F117" s="35"/>
      <c r="G117" s="35"/>
      <c r="H117" s="35"/>
      <c r="I117" s="35"/>
      <c r="J117" s="56"/>
      <c r="K117" s="58"/>
      <c r="L117" s="35"/>
      <c r="M117" s="35"/>
    </row>
    <row r="118" customFormat="false" ht="15" hidden="false" customHeight="true" outlineLevel="0" collapsed="false">
      <c r="A118" s="36"/>
      <c r="B118" s="35"/>
      <c r="C118" s="35"/>
      <c r="D118" s="35"/>
      <c r="E118" s="35"/>
      <c r="F118" s="35"/>
      <c r="G118" s="35"/>
      <c r="H118" s="35"/>
      <c r="I118" s="35"/>
      <c r="J118" s="56"/>
      <c r="K118" s="58"/>
      <c r="L118" s="35"/>
      <c r="M118" s="35"/>
    </row>
    <row r="119" customFormat="false" ht="15" hidden="false" customHeight="true" outlineLevel="0" collapsed="false">
      <c r="A119" s="36"/>
      <c r="B119" s="35"/>
      <c r="C119" s="35"/>
      <c r="D119" s="35"/>
      <c r="E119" s="35"/>
      <c r="F119" s="35"/>
      <c r="G119" s="35"/>
      <c r="H119" s="35"/>
      <c r="I119" s="35"/>
      <c r="J119" s="56"/>
      <c r="K119" s="58"/>
      <c r="L119" s="35"/>
      <c r="M119" s="35"/>
    </row>
    <row r="120" customFormat="false" ht="15" hidden="false" customHeight="true" outlineLevel="0" collapsed="false">
      <c r="A120" s="36"/>
      <c r="B120" s="35"/>
      <c r="C120" s="35"/>
      <c r="D120" s="35"/>
      <c r="E120" s="35"/>
      <c r="F120" s="35"/>
      <c r="G120" s="35"/>
      <c r="H120" s="35"/>
      <c r="I120" s="35"/>
      <c r="J120" s="56"/>
      <c r="K120" s="58"/>
      <c r="L120" s="35"/>
      <c r="M120" s="35"/>
    </row>
    <row r="121" customFormat="false" ht="15" hidden="false" customHeight="true" outlineLevel="0" collapsed="false">
      <c r="A121" s="36"/>
      <c r="B121" s="35"/>
      <c r="C121" s="35"/>
      <c r="D121" s="35"/>
      <c r="E121" s="35"/>
      <c r="F121" s="35"/>
      <c r="G121" s="35"/>
      <c r="H121" s="35"/>
      <c r="I121" s="35"/>
      <c r="J121" s="56"/>
      <c r="K121" s="58"/>
      <c r="L121" s="35"/>
      <c r="M121" s="35"/>
    </row>
    <row r="122" customFormat="false" ht="15" hidden="false" customHeight="true" outlineLevel="0" collapsed="false">
      <c r="A122" s="36"/>
      <c r="B122" s="35"/>
      <c r="C122" s="35"/>
      <c r="D122" s="35"/>
      <c r="E122" s="35"/>
      <c r="F122" s="35"/>
      <c r="G122" s="35"/>
      <c r="H122" s="35"/>
      <c r="I122" s="35"/>
      <c r="J122" s="56"/>
      <c r="K122" s="58"/>
      <c r="L122" s="35"/>
      <c r="M122" s="35"/>
    </row>
    <row r="123" customFormat="false" ht="15" hidden="false" customHeight="true" outlineLevel="0" collapsed="false">
      <c r="A123" s="36"/>
      <c r="B123" s="35"/>
      <c r="C123" s="35"/>
      <c r="D123" s="35"/>
      <c r="E123" s="35"/>
      <c r="F123" s="35"/>
      <c r="G123" s="35"/>
      <c r="H123" s="35"/>
      <c r="I123" s="35"/>
      <c r="J123" s="56"/>
      <c r="K123" s="58"/>
      <c r="L123" s="35"/>
      <c r="M123" s="35"/>
    </row>
    <row r="124" customFormat="false" ht="15" hidden="false" customHeight="true" outlineLevel="0" collapsed="false">
      <c r="A124" s="36"/>
      <c r="B124" s="35"/>
      <c r="C124" s="35"/>
      <c r="D124" s="35"/>
      <c r="E124" s="35"/>
      <c r="F124" s="35"/>
      <c r="G124" s="35"/>
      <c r="H124" s="35"/>
      <c r="I124" s="35"/>
      <c r="J124" s="56"/>
      <c r="K124" s="58"/>
      <c r="L124" s="35"/>
      <c r="M124" s="35"/>
    </row>
    <row r="125" customFormat="false" ht="15" hidden="false" customHeight="true" outlineLevel="0" collapsed="false">
      <c r="A125" s="36"/>
      <c r="B125" s="35"/>
      <c r="C125" s="35"/>
      <c r="D125" s="35"/>
      <c r="E125" s="35"/>
      <c r="F125" s="35"/>
      <c r="G125" s="35"/>
      <c r="H125" s="35"/>
      <c r="I125" s="35"/>
      <c r="J125" s="56"/>
      <c r="K125" s="58"/>
      <c r="L125" s="35"/>
      <c r="M125" s="35"/>
    </row>
    <row r="126" customFormat="false" ht="15" hidden="false" customHeight="true" outlineLevel="0" collapsed="false">
      <c r="A126" s="36"/>
      <c r="B126" s="35"/>
      <c r="C126" s="35"/>
      <c r="D126" s="35"/>
      <c r="E126" s="35"/>
      <c r="F126" s="35"/>
      <c r="G126" s="35"/>
      <c r="H126" s="35"/>
      <c r="I126" s="35"/>
      <c r="J126" s="56"/>
      <c r="K126" s="58"/>
      <c r="L126" s="35"/>
      <c r="M126" s="35"/>
    </row>
    <row r="127" customFormat="false" ht="15" hidden="false" customHeight="true" outlineLevel="0" collapsed="false">
      <c r="A127" s="36"/>
      <c r="B127" s="35"/>
      <c r="C127" s="35"/>
      <c r="D127" s="35"/>
      <c r="E127" s="35"/>
      <c r="F127" s="35"/>
      <c r="G127" s="35"/>
      <c r="H127" s="35"/>
      <c r="I127" s="35"/>
      <c r="J127" s="56"/>
      <c r="K127" s="58"/>
      <c r="L127" s="35"/>
      <c r="M127" s="35"/>
    </row>
    <row r="128" customFormat="false" ht="15" hidden="false" customHeight="true" outlineLevel="0" collapsed="false">
      <c r="A128" s="36"/>
      <c r="B128" s="35"/>
      <c r="C128" s="35"/>
      <c r="D128" s="35"/>
      <c r="E128" s="35"/>
      <c r="F128" s="35"/>
      <c r="G128" s="35"/>
      <c r="H128" s="35"/>
      <c r="I128" s="35"/>
      <c r="J128" s="56"/>
      <c r="K128" s="58"/>
      <c r="L128" s="35"/>
      <c r="M128" s="35"/>
    </row>
    <row r="129" customFormat="false" ht="15" hidden="false" customHeight="true" outlineLevel="0" collapsed="false">
      <c r="A129" s="36"/>
      <c r="B129" s="35"/>
      <c r="C129" s="35"/>
      <c r="D129" s="35"/>
      <c r="E129" s="35"/>
      <c r="F129" s="35"/>
      <c r="G129" s="35"/>
      <c r="H129" s="35"/>
      <c r="I129" s="35"/>
      <c r="J129" s="56"/>
      <c r="K129" s="58"/>
      <c r="L129" s="35"/>
      <c r="M129" s="35"/>
    </row>
    <row r="130" customFormat="false" ht="15" hidden="false" customHeight="true" outlineLevel="0" collapsed="false">
      <c r="A130" s="36"/>
      <c r="B130" s="35"/>
      <c r="C130" s="35"/>
      <c r="D130" s="35"/>
      <c r="E130" s="35"/>
      <c r="F130" s="35"/>
      <c r="G130" s="35"/>
      <c r="H130" s="35"/>
      <c r="I130" s="35"/>
      <c r="J130" s="56"/>
      <c r="K130" s="58"/>
      <c r="L130" s="35"/>
      <c r="M130" s="35"/>
    </row>
    <row r="131" customFormat="false" ht="15" hidden="false" customHeight="true" outlineLevel="0" collapsed="false">
      <c r="A131" s="36"/>
      <c r="B131" s="35"/>
      <c r="C131" s="35"/>
      <c r="D131" s="35"/>
      <c r="E131" s="35"/>
      <c r="F131" s="35"/>
      <c r="G131" s="35"/>
      <c r="H131" s="35"/>
      <c r="I131" s="35"/>
      <c r="J131" s="56"/>
      <c r="K131" s="58"/>
      <c r="L131" s="35"/>
      <c r="M131" s="35"/>
    </row>
    <row r="132" customFormat="false" ht="15" hidden="false" customHeight="true" outlineLevel="0" collapsed="false">
      <c r="A132" s="36"/>
      <c r="B132" s="35"/>
      <c r="C132" s="35"/>
      <c r="D132" s="35"/>
      <c r="E132" s="35"/>
      <c r="F132" s="35"/>
      <c r="G132" s="35"/>
      <c r="H132" s="35"/>
      <c r="I132" s="35"/>
      <c r="J132" s="56"/>
      <c r="K132" s="58"/>
      <c r="L132" s="35"/>
      <c r="M132" s="35"/>
    </row>
    <row r="133" customFormat="false" ht="15" hidden="false" customHeight="true" outlineLevel="0" collapsed="false">
      <c r="A133" s="36"/>
      <c r="B133" s="35"/>
      <c r="C133" s="35"/>
      <c r="D133" s="35"/>
      <c r="E133" s="35"/>
      <c r="F133" s="35"/>
      <c r="G133" s="35"/>
      <c r="H133" s="35"/>
      <c r="I133" s="35"/>
      <c r="J133" s="56"/>
      <c r="K133" s="58"/>
      <c r="L133" s="35"/>
      <c r="M133" s="35"/>
    </row>
    <row r="134" customFormat="false" ht="15" hidden="false" customHeight="true" outlineLevel="0" collapsed="false">
      <c r="A134" s="36"/>
      <c r="B134" s="35"/>
      <c r="C134" s="35"/>
      <c r="D134" s="35"/>
      <c r="E134" s="35"/>
      <c r="F134" s="35"/>
      <c r="G134" s="35"/>
      <c r="H134" s="35"/>
      <c r="I134" s="35"/>
      <c r="J134" s="56"/>
      <c r="K134" s="58"/>
      <c r="L134" s="35"/>
      <c r="M134" s="35"/>
    </row>
    <row r="135" customFormat="false" ht="15" hidden="false" customHeight="true" outlineLevel="0" collapsed="false">
      <c r="A135" s="36"/>
      <c r="B135" s="35"/>
      <c r="C135" s="35"/>
      <c r="D135" s="35"/>
      <c r="E135" s="35"/>
      <c r="F135" s="35"/>
      <c r="G135" s="35"/>
      <c r="H135" s="35"/>
      <c r="I135" s="35"/>
      <c r="J135" s="56"/>
      <c r="K135" s="58"/>
      <c r="L135" s="35"/>
      <c r="M135" s="35"/>
    </row>
    <row r="136" customFormat="false" ht="15" hidden="false" customHeight="true" outlineLevel="0" collapsed="false">
      <c r="A136" s="36"/>
      <c r="B136" s="35"/>
      <c r="C136" s="35"/>
      <c r="D136" s="35"/>
      <c r="E136" s="35"/>
      <c r="F136" s="35"/>
      <c r="G136" s="35"/>
      <c r="H136" s="35"/>
      <c r="I136" s="35"/>
      <c r="J136" s="56"/>
      <c r="K136" s="58"/>
      <c r="L136" s="35"/>
      <c r="M136" s="35"/>
    </row>
    <row r="137" customFormat="false" ht="15" hidden="false" customHeight="true" outlineLevel="0" collapsed="false">
      <c r="A137" s="36"/>
      <c r="B137" s="35"/>
      <c r="C137" s="35"/>
      <c r="D137" s="35"/>
      <c r="E137" s="35"/>
      <c r="F137" s="35"/>
      <c r="G137" s="35"/>
      <c r="H137" s="35"/>
      <c r="I137" s="35"/>
      <c r="J137" s="56"/>
      <c r="K137" s="58"/>
      <c r="L137" s="35"/>
      <c r="M137" s="35"/>
    </row>
    <row r="138" customFormat="false" ht="15" hidden="false" customHeight="true" outlineLevel="0" collapsed="false">
      <c r="A138" s="36"/>
      <c r="B138" s="35"/>
      <c r="C138" s="35"/>
      <c r="D138" s="35"/>
      <c r="E138" s="35"/>
      <c r="F138" s="35"/>
      <c r="G138" s="35"/>
      <c r="H138" s="35"/>
      <c r="I138" s="35"/>
      <c r="J138" s="56"/>
      <c r="K138" s="58"/>
      <c r="L138" s="35"/>
      <c r="M138" s="35"/>
    </row>
    <row r="139" customFormat="false" ht="15" hidden="false" customHeight="true" outlineLevel="0" collapsed="false">
      <c r="A139" s="36"/>
      <c r="B139" s="35"/>
      <c r="C139" s="35"/>
      <c r="D139" s="35"/>
      <c r="E139" s="35"/>
      <c r="F139" s="35"/>
      <c r="G139" s="35"/>
      <c r="H139" s="35"/>
      <c r="I139" s="35"/>
      <c r="J139" s="56"/>
      <c r="K139" s="58"/>
      <c r="L139" s="35"/>
      <c r="M139" s="35"/>
    </row>
    <row r="140" customFormat="false" ht="15" hidden="false" customHeight="true" outlineLevel="0" collapsed="false">
      <c r="A140" s="36"/>
      <c r="B140" s="35"/>
      <c r="C140" s="35"/>
      <c r="D140" s="35"/>
      <c r="E140" s="35"/>
      <c r="F140" s="35"/>
      <c r="G140" s="35"/>
      <c r="H140" s="35"/>
      <c r="I140" s="35"/>
      <c r="J140" s="56"/>
      <c r="K140" s="58"/>
      <c r="L140" s="35"/>
      <c r="M140" s="35"/>
    </row>
    <row r="141" customFormat="false" ht="15" hidden="false" customHeight="true" outlineLevel="0" collapsed="false">
      <c r="A141" s="36"/>
      <c r="B141" s="35"/>
      <c r="C141" s="35"/>
      <c r="D141" s="35"/>
      <c r="E141" s="35"/>
      <c r="F141" s="35"/>
      <c r="G141" s="35"/>
      <c r="H141" s="35"/>
      <c r="I141" s="35"/>
      <c r="J141" s="56"/>
      <c r="K141" s="58"/>
      <c r="L141" s="35"/>
      <c r="M141" s="35"/>
    </row>
    <row r="142" customFormat="false" ht="15" hidden="false" customHeight="true" outlineLevel="0" collapsed="false">
      <c r="A142" s="36"/>
      <c r="B142" s="35"/>
      <c r="C142" s="35"/>
      <c r="D142" s="35"/>
      <c r="E142" s="35"/>
      <c r="F142" s="35"/>
      <c r="G142" s="35"/>
      <c r="H142" s="35"/>
      <c r="I142" s="35"/>
      <c r="J142" s="56"/>
      <c r="K142" s="58"/>
      <c r="L142" s="35"/>
      <c r="M142" s="35"/>
    </row>
    <row r="143" customFormat="false" ht="15" hidden="false" customHeight="true" outlineLevel="0" collapsed="false">
      <c r="A143" s="36"/>
      <c r="B143" s="35"/>
      <c r="C143" s="35"/>
      <c r="D143" s="35"/>
      <c r="E143" s="35"/>
      <c r="F143" s="35"/>
      <c r="G143" s="35"/>
      <c r="H143" s="35"/>
      <c r="I143" s="35"/>
      <c r="J143" s="56"/>
      <c r="K143" s="58"/>
      <c r="L143" s="35"/>
      <c r="M143" s="35"/>
    </row>
    <row r="144" customFormat="false" ht="15" hidden="false" customHeight="true" outlineLevel="0" collapsed="false">
      <c r="A144" s="36"/>
      <c r="B144" s="35"/>
      <c r="C144" s="35"/>
      <c r="D144" s="35"/>
      <c r="E144" s="35"/>
      <c r="F144" s="35"/>
      <c r="G144" s="35"/>
      <c r="H144" s="35"/>
      <c r="I144" s="35"/>
      <c r="J144" s="56"/>
      <c r="K144" s="58"/>
      <c r="L144" s="35"/>
      <c r="M144" s="35"/>
    </row>
    <row r="145" customFormat="false" ht="15" hidden="false" customHeight="true" outlineLevel="0" collapsed="false">
      <c r="A145" s="36"/>
      <c r="B145" s="35"/>
      <c r="C145" s="35"/>
      <c r="D145" s="35"/>
      <c r="E145" s="35"/>
      <c r="F145" s="35"/>
      <c r="G145" s="35"/>
      <c r="H145" s="35"/>
      <c r="I145" s="35"/>
      <c r="J145" s="56"/>
      <c r="K145" s="58"/>
      <c r="L145" s="35"/>
      <c r="M145" s="35"/>
    </row>
    <row r="146" customFormat="false" ht="15" hidden="false" customHeight="true" outlineLevel="0" collapsed="false">
      <c r="A146" s="36"/>
      <c r="B146" s="35"/>
      <c r="C146" s="35"/>
      <c r="D146" s="35"/>
      <c r="E146" s="35"/>
      <c r="F146" s="35"/>
      <c r="G146" s="35"/>
      <c r="H146" s="35"/>
      <c r="I146" s="35"/>
      <c r="J146" s="56"/>
      <c r="K146" s="58"/>
      <c r="L146" s="35"/>
      <c r="M146" s="35"/>
    </row>
    <row r="147" customFormat="false" ht="15" hidden="false" customHeight="true" outlineLevel="0" collapsed="false">
      <c r="A147" s="36"/>
      <c r="B147" s="35"/>
      <c r="C147" s="35"/>
      <c r="D147" s="35"/>
      <c r="E147" s="35"/>
      <c r="F147" s="35"/>
      <c r="G147" s="35"/>
      <c r="H147" s="35"/>
      <c r="I147" s="35"/>
      <c r="J147" s="56"/>
      <c r="K147" s="58"/>
      <c r="L147" s="35"/>
      <c r="M147" s="35"/>
    </row>
    <row r="148" customFormat="false" ht="15" hidden="false" customHeight="true" outlineLevel="0" collapsed="false">
      <c r="A148" s="36"/>
      <c r="B148" s="35"/>
      <c r="C148" s="35"/>
      <c r="D148" s="35"/>
      <c r="E148" s="35"/>
      <c r="F148" s="35"/>
      <c r="G148" s="35"/>
      <c r="H148" s="35"/>
      <c r="I148" s="35"/>
      <c r="J148" s="56"/>
      <c r="K148" s="58"/>
      <c r="L148" s="35"/>
      <c r="M148" s="35"/>
    </row>
    <row r="149" customFormat="false" ht="15" hidden="false" customHeight="true" outlineLevel="0" collapsed="false">
      <c r="A149" s="36"/>
      <c r="B149" s="35"/>
      <c r="C149" s="35"/>
      <c r="D149" s="35"/>
      <c r="E149" s="35"/>
      <c r="F149" s="35"/>
      <c r="G149" s="35"/>
      <c r="H149" s="35"/>
      <c r="I149" s="35"/>
      <c r="J149" s="56"/>
      <c r="K149" s="58"/>
      <c r="L149" s="35"/>
      <c r="M149" s="35"/>
    </row>
    <row r="150" customFormat="false" ht="15" hidden="false" customHeight="true" outlineLevel="0" collapsed="false">
      <c r="A150" s="36"/>
      <c r="B150" s="35"/>
      <c r="C150" s="35"/>
      <c r="D150" s="35"/>
      <c r="E150" s="35"/>
      <c r="F150" s="35"/>
      <c r="G150" s="35"/>
      <c r="H150" s="35"/>
      <c r="I150" s="35"/>
      <c r="J150" s="56"/>
      <c r="K150" s="58"/>
      <c r="L150" s="35"/>
      <c r="M150" s="35"/>
    </row>
    <row r="151" customFormat="false" ht="15" hidden="false" customHeight="true" outlineLevel="0" collapsed="false">
      <c r="A151" s="36"/>
      <c r="B151" s="35"/>
      <c r="C151" s="35"/>
      <c r="D151" s="35"/>
      <c r="E151" s="35"/>
      <c r="F151" s="35"/>
      <c r="G151" s="35"/>
      <c r="H151" s="35"/>
      <c r="I151" s="35"/>
      <c r="J151" s="56"/>
      <c r="K151" s="58"/>
      <c r="L151" s="35"/>
      <c r="M151" s="35"/>
    </row>
    <row r="152" customFormat="false" ht="15" hidden="false" customHeight="true" outlineLevel="0" collapsed="false">
      <c r="A152" s="36"/>
      <c r="B152" s="35"/>
      <c r="C152" s="35"/>
      <c r="D152" s="35"/>
      <c r="E152" s="35"/>
      <c r="F152" s="35"/>
      <c r="G152" s="35"/>
      <c r="H152" s="35"/>
      <c r="I152" s="35"/>
      <c r="J152" s="56"/>
      <c r="K152" s="58"/>
      <c r="L152" s="35"/>
      <c r="M152" s="35"/>
    </row>
    <row r="153" customFormat="false" ht="15" hidden="false" customHeight="true" outlineLevel="0" collapsed="false">
      <c r="A153" s="36"/>
      <c r="B153" s="35"/>
      <c r="C153" s="35"/>
      <c r="D153" s="35"/>
      <c r="E153" s="35"/>
      <c r="F153" s="35"/>
      <c r="G153" s="35"/>
      <c r="H153" s="35"/>
      <c r="I153" s="35"/>
      <c r="J153" s="56"/>
      <c r="K153" s="58"/>
      <c r="L153" s="35"/>
      <c r="M153" s="35"/>
    </row>
    <row r="154" customFormat="false" ht="15" hidden="false" customHeight="true" outlineLevel="0" collapsed="false">
      <c r="A154" s="36"/>
      <c r="B154" s="35"/>
      <c r="C154" s="35"/>
      <c r="D154" s="35"/>
      <c r="E154" s="35"/>
      <c r="F154" s="35"/>
      <c r="G154" s="35"/>
      <c r="H154" s="35"/>
      <c r="I154" s="35"/>
      <c r="J154" s="56"/>
      <c r="K154" s="58"/>
      <c r="L154" s="35"/>
      <c r="M154" s="35"/>
    </row>
    <row r="155" customFormat="false" ht="15" hidden="false" customHeight="true" outlineLevel="0" collapsed="false">
      <c r="A155" s="36"/>
      <c r="B155" s="35"/>
      <c r="C155" s="35"/>
      <c r="D155" s="35"/>
      <c r="E155" s="35"/>
      <c r="F155" s="35"/>
      <c r="G155" s="35"/>
      <c r="H155" s="35"/>
      <c r="I155" s="35"/>
      <c r="J155" s="56"/>
      <c r="K155" s="58"/>
      <c r="L155" s="35"/>
      <c r="M155" s="35"/>
    </row>
    <row r="156" customFormat="false" ht="15" hidden="false" customHeight="true" outlineLevel="0" collapsed="false">
      <c r="A156" s="36"/>
      <c r="B156" s="35"/>
      <c r="C156" s="35"/>
      <c r="D156" s="35"/>
      <c r="E156" s="35"/>
      <c r="F156" s="35"/>
      <c r="G156" s="35"/>
      <c r="H156" s="35"/>
      <c r="I156" s="35"/>
      <c r="J156" s="56"/>
      <c r="K156" s="58"/>
      <c r="L156" s="35"/>
      <c r="M156" s="35"/>
    </row>
    <row r="157" customFormat="false" ht="15" hidden="false" customHeight="true" outlineLevel="0" collapsed="false">
      <c r="A157" s="36"/>
      <c r="B157" s="35"/>
      <c r="C157" s="35"/>
      <c r="D157" s="35"/>
      <c r="E157" s="35"/>
      <c r="F157" s="35"/>
      <c r="G157" s="35"/>
      <c r="H157" s="35"/>
      <c r="I157" s="35"/>
      <c r="J157" s="56"/>
      <c r="K157" s="58"/>
      <c r="L157" s="35"/>
      <c r="M157" s="35"/>
    </row>
    <row r="158" customFormat="false" ht="15" hidden="false" customHeight="true" outlineLevel="0" collapsed="false">
      <c r="A158" s="36"/>
      <c r="B158" s="35"/>
      <c r="C158" s="35"/>
      <c r="D158" s="35"/>
      <c r="E158" s="35"/>
      <c r="F158" s="35"/>
      <c r="G158" s="35"/>
      <c r="H158" s="35"/>
      <c r="I158" s="35"/>
      <c r="J158" s="56"/>
      <c r="K158" s="58"/>
      <c r="L158" s="35"/>
      <c r="M158" s="35"/>
    </row>
    <row r="159" customFormat="false" ht="15" hidden="false" customHeight="true" outlineLevel="0" collapsed="false">
      <c r="A159" s="36"/>
      <c r="B159" s="35"/>
      <c r="C159" s="35"/>
      <c r="D159" s="35"/>
      <c r="E159" s="35"/>
      <c r="F159" s="35"/>
      <c r="G159" s="35"/>
      <c r="H159" s="35"/>
      <c r="I159" s="35"/>
      <c r="J159" s="56"/>
      <c r="K159" s="58"/>
      <c r="L159" s="35"/>
      <c r="M159" s="35"/>
    </row>
    <row r="160" customFormat="false" ht="15" hidden="false" customHeight="true" outlineLevel="0" collapsed="false">
      <c r="A160" s="36"/>
      <c r="B160" s="35"/>
      <c r="C160" s="35"/>
      <c r="D160" s="35"/>
      <c r="E160" s="35"/>
      <c r="F160" s="35"/>
      <c r="G160" s="35"/>
      <c r="H160" s="35"/>
      <c r="I160" s="35"/>
      <c r="J160" s="56"/>
      <c r="K160" s="58"/>
      <c r="L160" s="35"/>
      <c r="M160" s="35"/>
    </row>
    <row r="161" customFormat="false" ht="15" hidden="false" customHeight="true" outlineLevel="0" collapsed="false">
      <c r="A161" s="36"/>
      <c r="B161" s="35"/>
      <c r="C161" s="35"/>
      <c r="D161" s="35"/>
      <c r="E161" s="35"/>
      <c r="F161" s="35"/>
      <c r="G161" s="35"/>
      <c r="H161" s="35"/>
      <c r="I161" s="35"/>
      <c r="J161" s="56"/>
      <c r="K161" s="58"/>
      <c r="L161" s="35"/>
      <c r="M161" s="35"/>
    </row>
    <row r="162" customFormat="false" ht="15" hidden="false" customHeight="true" outlineLevel="0" collapsed="false">
      <c r="A162" s="36"/>
      <c r="B162" s="35"/>
      <c r="C162" s="35"/>
      <c r="D162" s="35"/>
      <c r="E162" s="35"/>
      <c r="F162" s="35"/>
      <c r="G162" s="35"/>
      <c r="H162" s="35"/>
      <c r="I162" s="35"/>
      <c r="J162" s="56"/>
      <c r="K162" s="58"/>
      <c r="L162" s="35"/>
      <c r="M162" s="35"/>
    </row>
    <row r="163" customFormat="false" ht="15" hidden="false" customHeight="true" outlineLevel="0" collapsed="false">
      <c r="A163" s="36"/>
      <c r="B163" s="35"/>
      <c r="C163" s="35"/>
      <c r="D163" s="35"/>
      <c r="E163" s="35"/>
      <c r="F163" s="35"/>
      <c r="G163" s="35"/>
      <c r="H163" s="35"/>
      <c r="I163" s="35"/>
      <c r="J163" s="56"/>
      <c r="K163" s="58"/>
      <c r="L163" s="35"/>
      <c r="M163" s="35"/>
    </row>
    <row r="164" customFormat="false" ht="15" hidden="false" customHeight="true" outlineLevel="0" collapsed="false">
      <c r="A164" s="36"/>
      <c r="B164" s="35"/>
      <c r="C164" s="35"/>
      <c r="D164" s="35"/>
      <c r="E164" s="35"/>
      <c r="F164" s="35"/>
      <c r="G164" s="35"/>
      <c r="H164" s="35"/>
      <c r="I164" s="35"/>
      <c r="J164" s="56"/>
      <c r="K164" s="58"/>
      <c r="L164" s="35"/>
      <c r="M164" s="35"/>
    </row>
    <row r="165" customFormat="false" ht="15" hidden="false" customHeight="true" outlineLevel="0" collapsed="false">
      <c r="A165" s="36"/>
      <c r="B165" s="35"/>
      <c r="C165" s="35"/>
      <c r="D165" s="35"/>
      <c r="E165" s="35"/>
      <c r="F165" s="35"/>
      <c r="G165" s="35"/>
      <c r="H165" s="35"/>
      <c r="I165" s="35"/>
      <c r="J165" s="56"/>
      <c r="K165" s="58"/>
      <c r="L165" s="35"/>
      <c r="M165" s="35"/>
    </row>
    <row r="166" customFormat="false" ht="15" hidden="false" customHeight="true" outlineLevel="0" collapsed="false">
      <c r="A166" s="36"/>
      <c r="B166" s="35"/>
      <c r="C166" s="35"/>
      <c r="D166" s="35"/>
      <c r="E166" s="35"/>
      <c r="F166" s="35"/>
      <c r="G166" s="35"/>
      <c r="H166" s="35"/>
      <c r="I166" s="35"/>
      <c r="J166" s="56"/>
      <c r="K166" s="58"/>
      <c r="L166" s="35"/>
      <c r="M166" s="35"/>
    </row>
    <row r="167" customFormat="false" ht="15" hidden="false" customHeight="true" outlineLevel="0" collapsed="false">
      <c r="A167" s="36"/>
      <c r="B167" s="35"/>
      <c r="C167" s="35"/>
      <c r="D167" s="35"/>
      <c r="E167" s="35"/>
      <c r="F167" s="35"/>
      <c r="G167" s="35"/>
      <c r="H167" s="35"/>
      <c r="I167" s="35"/>
      <c r="J167" s="56"/>
      <c r="K167" s="58"/>
      <c r="L167" s="35"/>
      <c r="M167" s="35"/>
    </row>
    <row r="168" customFormat="false" ht="15" hidden="false" customHeight="true" outlineLevel="0" collapsed="false">
      <c r="A168" s="36"/>
      <c r="B168" s="35"/>
      <c r="C168" s="35"/>
      <c r="D168" s="35"/>
      <c r="E168" s="35"/>
      <c r="F168" s="35"/>
      <c r="G168" s="35"/>
      <c r="H168" s="35"/>
      <c r="I168" s="35"/>
      <c r="J168" s="56"/>
      <c r="K168" s="58"/>
      <c r="L168" s="35"/>
      <c r="M168" s="35"/>
    </row>
    <row r="169" customFormat="false" ht="15" hidden="false" customHeight="true" outlineLevel="0" collapsed="false">
      <c r="A169" s="36"/>
      <c r="B169" s="35"/>
      <c r="C169" s="35"/>
      <c r="D169" s="35"/>
      <c r="E169" s="35"/>
      <c r="F169" s="35"/>
      <c r="G169" s="35"/>
      <c r="H169" s="35"/>
      <c r="I169" s="35"/>
      <c r="J169" s="56"/>
      <c r="K169" s="58"/>
      <c r="L169" s="35"/>
      <c r="M169" s="35"/>
    </row>
    <row r="170" customFormat="false" ht="15" hidden="false" customHeight="true" outlineLevel="0" collapsed="false">
      <c r="A170" s="36"/>
      <c r="B170" s="35"/>
      <c r="C170" s="35"/>
      <c r="D170" s="35"/>
      <c r="E170" s="35"/>
      <c r="F170" s="35"/>
      <c r="G170" s="35"/>
      <c r="H170" s="35"/>
      <c r="I170" s="35"/>
      <c r="J170" s="56"/>
      <c r="K170" s="58"/>
      <c r="L170" s="35"/>
      <c r="M170" s="35"/>
    </row>
    <row r="171" customFormat="false" ht="15" hidden="false" customHeight="true" outlineLevel="0" collapsed="false">
      <c r="A171" s="36"/>
      <c r="B171" s="35"/>
      <c r="C171" s="35"/>
      <c r="D171" s="35"/>
      <c r="E171" s="35"/>
      <c r="F171" s="35"/>
      <c r="G171" s="35"/>
      <c r="H171" s="35"/>
      <c r="I171" s="35"/>
      <c r="J171" s="56"/>
      <c r="K171" s="58"/>
      <c r="L171" s="35"/>
      <c r="M171" s="35"/>
    </row>
    <row r="172" customFormat="false" ht="15" hidden="false" customHeight="true" outlineLevel="0" collapsed="false">
      <c r="A172" s="36"/>
      <c r="B172" s="35"/>
      <c r="C172" s="35"/>
      <c r="D172" s="35"/>
      <c r="E172" s="35"/>
      <c r="F172" s="35"/>
      <c r="G172" s="35"/>
      <c r="H172" s="35"/>
      <c r="I172" s="35"/>
      <c r="J172" s="56"/>
      <c r="K172" s="58"/>
      <c r="L172" s="35"/>
      <c r="M172" s="35"/>
    </row>
    <row r="173" customFormat="false" ht="15" hidden="false" customHeight="true" outlineLevel="0" collapsed="false">
      <c r="A173" s="36"/>
      <c r="B173" s="35"/>
      <c r="C173" s="35"/>
      <c r="D173" s="35"/>
      <c r="E173" s="35"/>
      <c r="F173" s="35"/>
      <c r="G173" s="35"/>
      <c r="H173" s="35"/>
      <c r="I173" s="35"/>
      <c r="J173" s="56"/>
      <c r="K173" s="58"/>
      <c r="L173" s="35"/>
      <c r="M173" s="35"/>
    </row>
    <row r="174" customFormat="false" ht="15" hidden="false" customHeight="true" outlineLevel="0" collapsed="false">
      <c r="A174" s="36"/>
      <c r="B174" s="35"/>
      <c r="C174" s="35"/>
      <c r="D174" s="35"/>
      <c r="E174" s="35"/>
      <c r="F174" s="35"/>
      <c r="G174" s="35"/>
      <c r="H174" s="35"/>
      <c r="I174" s="35"/>
      <c r="J174" s="56"/>
      <c r="K174" s="58"/>
      <c r="L174" s="35"/>
      <c r="M174" s="35"/>
    </row>
    <row r="175" customFormat="false" ht="15" hidden="false" customHeight="true" outlineLevel="0" collapsed="false">
      <c r="A175" s="36"/>
      <c r="B175" s="35"/>
      <c r="C175" s="35"/>
      <c r="D175" s="35"/>
      <c r="E175" s="35"/>
      <c r="F175" s="35"/>
      <c r="G175" s="35"/>
      <c r="H175" s="35"/>
      <c r="I175" s="35"/>
      <c r="J175" s="56"/>
      <c r="K175" s="58"/>
      <c r="L175" s="35"/>
      <c r="M175" s="35"/>
    </row>
    <row r="176" customFormat="false" ht="15" hidden="false" customHeight="true" outlineLevel="0" collapsed="false">
      <c r="A176" s="36"/>
      <c r="B176" s="35"/>
      <c r="C176" s="35"/>
      <c r="D176" s="35"/>
      <c r="E176" s="35"/>
      <c r="F176" s="35"/>
      <c r="G176" s="35"/>
      <c r="H176" s="35"/>
      <c r="I176" s="35"/>
      <c r="J176" s="56"/>
      <c r="K176" s="58"/>
      <c r="L176" s="35"/>
      <c r="M176" s="35"/>
    </row>
    <row r="177" customFormat="false" ht="15" hidden="false" customHeight="true" outlineLevel="0" collapsed="false">
      <c r="A177" s="36"/>
      <c r="B177" s="35"/>
      <c r="C177" s="35"/>
      <c r="D177" s="35"/>
      <c r="E177" s="35"/>
      <c r="F177" s="35"/>
      <c r="G177" s="35"/>
      <c r="H177" s="35"/>
      <c r="I177" s="35"/>
      <c r="J177" s="56"/>
      <c r="K177" s="58"/>
      <c r="L177" s="35"/>
      <c r="M177" s="35"/>
    </row>
    <row r="178" customFormat="false" ht="15" hidden="false" customHeight="true" outlineLevel="0" collapsed="false">
      <c r="A178" s="36"/>
      <c r="B178" s="35"/>
      <c r="C178" s="35"/>
      <c r="D178" s="35"/>
      <c r="E178" s="35"/>
      <c r="F178" s="35"/>
      <c r="G178" s="35"/>
      <c r="H178" s="35"/>
      <c r="I178" s="35"/>
      <c r="J178" s="56"/>
      <c r="K178" s="58"/>
      <c r="L178" s="35"/>
      <c r="M178" s="35"/>
    </row>
    <row r="179" customFormat="false" ht="15" hidden="false" customHeight="true" outlineLevel="0" collapsed="false">
      <c r="A179" s="36"/>
      <c r="B179" s="35"/>
      <c r="C179" s="35"/>
      <c r="D179" s="35"/>
      <c r="E179" s="35"/>
      <c r="F179" s="35"/>
      <c r="G179" s="35"/>
      <c r="H179" s="35"/>
      <c r="I179" s="35"/>
      <c r="J179" s="56"/>
      <c r="K179" s="58"/>
      <c r="L179" s="35"/>
      <c r="M179" s="35"/>
    </row>
    <row r="180" customFormat="false" ht="15" hidden="false" customHeight="true" outlineLevel="0" collapsed="false">
      <c r="A180" s="36"/>
      <c r="B180" s="35"/>
      <c r="C180" s="35"/>
      <c r="D180" s="35"/>
      <c r="E180" s="35"/>
      <c r="F180" s="35"/>
      <c r="G180" s="35"/>
      <c r="H180" s="35"/>
      <c r="I180" s="35"/>
      <c r="J180" s="56"/>
      <c r="K180" s="58"/>
      <c r="L180" s="35"/>
      <c r="M180" s="35"/>
    </row>
    <row r="181" customFormat="false" ht="15" hidden="false" customHeight="true" outlineLevel="0" collapsed="false">
      <c r="A181" s="36"/>
      <c r="B181" s="35"/>
      <c r="C181" s="35"/>
      <c r="D181" s="35"/>
      <c r="E181" s="35"/>
      <c r="F181" s="35"/>
      <c r="G181" s="35"/>
      <c r="H181" s="35"/>
      <c r="I181" s="35"/>
      <c r="J181" s="56"/>
      <c r="K181" s="58"/>
      <c r="L181" s="35"/>
      <c r="M181" s="35"/>
    </row>
    <row r="182" customFormat="false" ht="15" hidden="false" customHeight="true" outlineLevel="0" collapsed="false">
      <c r="A182" s="36"/>
      <c r="B182" s="35"/>
      <c r="C182" s="35"/>
      <c r="D182" s="35"/>
      <c r="E182" s="35"/>
      <c r="F182" s="35"/>
      <c r="G182" s="35"/>
      <c r="H182" s="35"/>
      <c r="I182" s="35"/>
      <c r="J182" s="56"/>
      <c r="K182" s="58"/>
      <c r="L182" s="35"/>
      <c r="M182" s="35"/>
    </row>
    <row r="183" customFormat="false" ht="15" hidden="false" customHeight="true" outlineLevel="0" collapsed="false">
      <c r="A183" s="36"/>
      <c r="B183" s="35"/>
      <c r="C183" s="35"/>
      <c r="D183" s="35"/>
      <c r="E183" s="35"/>
      <c r="F183" s="35"/>
      <c r="G183" s="35"/>
      <c r="H183" s="35"/>
      <c r="I183" s="35"/>
      <c r="J183" s="56"/>
      <c r="K183" s="58"/>
      <c r="L183" s="35"/>
      <c r="M183" s="35"/>
    </row>
    <row r="184" customFormat="false" ht="15" hidden="false" customHeight="true" outlineLevel="0" collapsed="false">
      <c r="A184" s="36"/>
      <c r="B184" s="35"/>
      <c r="C184" s="35"/>
      <c r="D184" s="35"/>
      <c r="E184" s="35"/>
      <c r="F184" s="35"/>
      <c r="G184" s="35"/>
      <c r="H184" s="35"/>
      <c r="I184" s="35"/>
      <c r="J184" s="56"/>
      <c r="K184" s="58"/>
      <c r="L184" s="35"/>
      <c r="M184" s="35"/>
    </row>
    <row r="185" customFormat="false" ht="15" hidden="false" customHeight="true" outlineLevel="0" collapsed="false">
      <c r="A185" s="36"/>
      <c r="B185" s="35"/>
      <c r="C185" s="35"/>
      <c r="D185" s="35"/>
      <c r="E185" s="35"/>
      <c r="F185" s="35"/>
      <c r="G185" s="35"/>
      <c r="H185" s="35"/>
      <c r="I185" s="35"/>
      <c r="J185" s="56"/>
      <c r="K185" s="58"/>
      <c r="L185" s="35"/>
      <c r="M185" s="35"/>
    </row>
    <row r="186" customFormat="false" ht="15" hidden="false" customHeight="true" outlineLevel="0" collapsed="false">
      <c r="A186" s="36"/>
      <c r="B186" s="35"/>
      <c r="C186" s="35"/>
      <c r="D186" s="35"/>
      <c r="E186" s="35"/>
      <c r="F186" s="35"/>
      <c r="G186" s="35"/>
      <c r="H186" s="35"/>
      <c r="I186" s="35"/>
      <c r="J186" s="56"/>
      <c r="K186" s="58"/>
      <c r="L186" s="35"/>
      <c r="M186" s="35"/>
    </row>
    <row r="187" customFormat="false" ht="15" hidden="false" customHeight="true" outlineLevel="0" collapsed="false">
      <c r="A187" s="36"/>
      <c r="B187" s="35"/>
      <c r="C187" s="35"/>
      <c r="D187" s="35"/>
      <c r="E187" s="35"/>
      <c r="F187" s="35"/>
      <c r="G187" s="35"/>
      <c r="H187" s="35"/>
      <c r="I187" s="35"/>
      <c r="J187" s="56"/>
      <c r="K187" s="58"/>
      <c r="L187" s="35"/>
      <c r="M187" s="35"/>
    </row>
    <row r="188" customFormat="false" ht="15" hidden="false" customHeight="true" outlineLevel="0" collapsed="false">
      <c r="A188" s="36"/>
      <c r="B188" s="35"/>
      <c r="C188" s="35"/>
      <c r="D188" s="35"/>
      <c r="E188" s="35"/>
      <c r="F188" s="35"/>
      <c r="G188" s="35"/>
      <c r="H188" s="35"/>
      <c r="I188" s="35"/>
      <c r="J188" s="56"/>
      <c r="K188" s="58"/>
      <c r="L188" s="35"/>
      <c r="M188" s="35"/>
    </row>
    <row r="189" customFormat="false" ht="15" hidden="false" customHeight="true" outlineLevel="0" collapsed="false">
      <c r="A189" s="36"/>
      <c r="B189" s="35"/>
      <c r="C189" s="35"/>
      <c r="D189" s="35"/>
      <c r="E189" s="35"/>
      <c r="F189" s="35"/>
      <c r="G189" s="35"/>
      <c r="H189" s="35"/>
      <c r="I189" s="35"/>
      <c r="J189" s="56"/>
      <c r="K189" s="58"/>
      <c r="L189" s="35"/>
      <c r="M189" s="35"/>
    </row>
    <row r="190" customFormat="false" ht="15" hidden="false" customHeight="true" outlineLevel="0" collapsed="false">
      <c r="A190" s="36"/>
      <c r="B190" s="35"/>
      <c r="C190" s="35"/>
      <c r="D190" s="35"/>
      <c r="E190" s="35"/>
      <c r="F190" s="35"/>
      <c r="G190" s="35"/>
      <c r="H190" s="35"/>
      <c r="I190" s="35"/>
      <c r="J190" s="56"/>
      <c r="K190" s="58"/>
      <c r="L190" s="35"/>
      <c r="M190" s="35"/>
    </row>
    <row r="191" customFormat="false" ht="15" hidden="false" customHeight="true" outlineLevel="0" collapsed="false">
      <c r="A191" s="36"/>
      <c r="B191" s="35"/>
      <c r="C191" s="35"/>
      <c r="D191" s="35"/>
      <c r="E191" s="35"/>
      <c r="F191" s="35"/>
      <c r="G191" s="35"/>
      <c r="H191" s="35"/>
      <c r="I191" s="35"/>
      <c r="J191" s="56"/>
      <c r="K191" s="58"/>
      <c r="L191" s="35"/>
      <c r="M191" s="35"/>
    </row>
    <row r="192" customFormat="false" ht="15" hidden="false" customHeight="true" outlineLevel="0" collapsed="false">
      <c r="A192" s="36"/>
      <c r="B192" s="35"/>
      <c r="C192" s="35"/>
      <c r="D192" s="35"/>
      <c r="E192" s="35"/>
      <c r="F192" s="35"/>
      <c r="G192" s="35"/>
      <c r="H192" s="35"/>
      <c r="I192" s="35"/>
      <c r="J192" s="56"/>
      <c r="K192" s="58"/>
      <c r="L192" s="35"/>
      <c r="M192" s="35"/>
    </row>
    <row r="193" customFormat="false" ht="15" hidden="false" customHeight="true" outlineLevel="0" collapsed="false">
      <c r="A193" s="36"/>
      <c r="B193" s="35"/>
      <c r="C193" s="35"/>
      <c r="D193" s="35"/>
      <c r="E193" s="35"/>
      <c r="F193" s="35"/>
      <c r="G193" s="35"/>
      <c r="H193" s="35"/>
      <c r="I193" s="35"/>
      <c r="J193" s="56"/>
      <c r="K193" s="58"/>
      <c r="L193" s="35"/>
      <c r="M193" s="35"/>
    </row>
    <row r="194" customFormat="false" ht="15" hidden="false" customHeight="true" outlineLevel="0" collapsed="false">
      <c r="A194" s="36"/>
      <c r="B194" s="35"/>
      <c r="C194" s="35"/>
      <c r="D194" s="35"/>
      <c r="E194" s="35"/>
      <c r="F194" s="35"/>
      <c r="G194" s="35"/>
      <c r="H194" s="35"/>
      <c r="I194" s="35"/>
      <c r="J194" s="56"/>
      <c r="K194" s="58"/>
      <c r="L194" s="35"/>
      <c r="M194" s="35"/>
    </row>
    <row r="195" customFormat="false" ht="15" hidden="false" customHeight="true" outlineLevel="0" collapsed="false">
      <c r="A195" s="36"/>
      <c r="B195" s="35"/>
      <c r="C195" s="35"/>
      <c r="D195" s="35"/>
      <c r="E195" s="35"/>
      <c r="F195" s="35"/>
      <c r="G195" s="35"/>
      <c r="H195" s="35"/>
      <c r="I195" s="35"/>
      <c r="J195" s="56"/>
      <c r="K195" s="58"/>
      <c r="L195" s="35"/>
      <c r="M195" s="35"/>
    </row>
    <row r="196" customFormat="false" ht="15" hidden="false" customHeight="true" outlineLevel="0" collapsed="false">
      <c r="A196" s="36"/>
      <c r="B196" s="35"/>
      <c r="C196" s="35"/>
      <c r="D196" s="35"/>
      <c r="E196" s="35"/>
      <c r="F196" s="35"/>
      <c r="G196" s="35"/>
      <c r="H196" s="35"/>
      <c r="I196" s="35"/>
      <c r="J196" s="56"/>
      <c r="K196" s="58"/>
      <c r="L196" s="35"/>
      <c r="M196" s="35"/>
    </row>
    <row r="197" customFormat="false" ht="15" hidden="false" customHeight="true" outlineLevel="0" collapsed="false">
      <c r="A197" s="36"/>
      <c r="B197" s="35"/>
      <c r="C197" s="35"/>
      <c r="D197" s="35"/>
      <c r="E197" s="35"/>
      <c r="F197" s="35"/>
      <c r="G197" s="35"/>
      <c r="H197" s="35"/>
      <c r="I197" s="35"/>
      <c r="J197" s="56"/>
      <c r="K197" s="58"/>
      <c r="L197" s="35"/>
      <c r="M197" s="35"/>
    </row>
    <row r="198" customFormat="false" ht="15" hidden="false" customHeight="true" outlineLevel="0" collapsed="false">
      <c r="A198" s="36"/>
      <c r="B198" s="35"/>
      <c r="C198" s="35"/>
      <c r="D198" s="35"/>
      <c r="E198" s="35"/>
      <c r="F198" s="35"/>
      <c r="G198" s="35"/>
      <c r="H198" s="35"/>
      <c r="I198" s="35"/>
      <c r="J198" s="56"/>
      <c r="K198" s="58"/>
      <c r="L198" s="35"/>
      <c r="M198" s="35"/>
    </row>
    <row r="199" customFormat="false" ht="15" hidden="false" customHeight="true" outlineLevel="0" collapsed="false">
      <c r="A199" s="36"/>
      <c r="B199" s="35"/>
      <c r="C199" s="35"/>
      <c r="D199" s="35"/>
      <c r="E199" s="35"/>
      <c r="F199" s="35"/>
      <c r="G199" s="35"/>
      <c r="H199" s="35"/>
      <c r="I199" s="35"/>
      <c r="J199" s="56"/>
      <c r="K199" s="58"/>
      <c r="L199" s="35"/>
      <c r="M199" s="35"/>
    </row>
    <row r="200" customFormat="false" ht="15" hidden="false" customHeight="true" outlineLevel="0" collapsed="false">
      <c r="A200" s="36"/>
      <c r="B200" s="35"/>
      <c r="C200" s="35"/>
      <c r="D200" s="35"/>
      <c r="E200" s="35"/>
      <c r="F200" s="35"/>
      <c r="G200" s="35"/>
      <c r="H200" s="35"/>
      <c r="I200" s="35"/>
      <c r="J200" s="56"/>
      <c r="K200" s="58"/>
      <c r="L200" s="35"/>
      <c r="M200" s="35"/>
    </row>
    <row r="201" customFormat="false" ht="15" hidden="false" customHeight="true" outlineLevel="0" collapsed="false">
      <c r="A201" s="36"/>
      <c r="B201" s="35"/>
      <c r="C201" s="35"/>
      <c r="D201" s="35"/>
      <c r="E201" s="35"/>
      <c r="F201" s="35"/>
      <c r="G201" s="35"/>
      <c r="H201" s="35"/>
      <c r="I201" s="35"/>
      <c r="J201" s="56"/>
      <c r="K201" s="58"/>
      <c r="L201" s="35"/>
      <c r="M201" s="35"/>
    </row>
    <row r="202" customFormat="false" ht="15" hidden="false" customHeight="true" outlineLevel="0" collapsed="false">
      <c r="A202" s="36"/>
      <c r="B202" s="35"/>
      <c r="C202" s="35"/>
      <c r="D202" s="35"/>
      <c r="E202" s="35"/>
      <c r="F202" s="35"/>
      <c r="G202" s="35"/>
      <c r="H202" s="35"/>
      <c r="I202" s="35"/>
      <c r="J202" s="56"/>
      <c r="K202" s="58"/>
      <c r="L202" s="35"/>
      <c r="M202" s="35"/>
    </row>
    <row r="203" customFormat="false" ht="15" hidden="false" customHeight="true" outlineLevel="0" collapsed="false">
      <c r="A203" s="36"/>
      <c r="B203" s="35"/>
      <c r="C203" s="35"/>
      <c r="D203" s="35"/>
      <c r="E203" s="35"/>
      <c r="F203" s="35"/>
      <c r="G203" s="35"/>
      <c r="H203" s="35"/>
      <c r="I203" s="35"/>
      <c r="J203" s="56"/>
      <c r="K203" s="58"/>
      <c r="L203" s="35"/>
      <c r="M203" s="35"/>
    </row>
    <row r="204" customFormat="false" ht="15" hidden="false" customHeight="true" outlineLevel="0" collapsed="false">
      <c r="A204" s="36"/>
      <c r="B204" s="35"/>
      <c r="C204" s="35"/>
      <c r="D204" s="35"/>
      <c r="E204" s="35"/>
      <c r="F204" s="35"/>
      <c r="G204" s="35"/>
      <c r="H204" s="35"/>
      <c r="I204" s="35"/>
      <c r="J204" s="56"/>
      <c r="K204" s="58"/>
      <c r="L204" s="35"/>
      <c r="M204" s="35"/>
    </row>
    <row r="205" customFormat="false" ht="15" hidden="false" customHeight="true" outlineLevel="0" collapsed="false">
      <c r="A205" s="36"/>
      <c r="B205" s="35"/>
      <c r="C205" s="35"/>
      <c r="D205" s="35"/>
      <c r="E205" s="35"/>
      <c r="F205" s="35"/>
      <c r="G205" s="35"/>
      <c r="H205" s="35"/>
      <c r="I205" s="35"/>
      <c r="J205" s="56"/>
      <c r="K205" s="58"/>
      <c r="L205" s="35"/>
      <c r="M205" s="35"/>
    </row>
    <row r="206" customFormat="false" ht="15" hidden="false" customHeight="true" outlineLevel="0" collapsed="false">
      <c r="A206" s="36"/>
      <c r="B206" s="35"/>
      <c r="C206" s="35"/>
      <c r="D206" s="35"/>
      <c r="E206" s="35"/>
      <c r="F206" s="35"/>
      <c r="G206" s="35"/>
      <c r="H206" s="35"/>
      <c r="I206" s="35"/>
      <c r="J206" s="56"/>
      <c r="K206" s="58"/>
      <c r="L206" s="35"/>
      <c r="M206" s="35"/>
    </row>
    <row r="207" customFormat="false" ht="15" hidden="false" customHeight="true" outlineLevel="0" collapsed="false">
      <c r="A207" s="36"/>
      <c r="B207" s="35"/>
      <c r="C207" s="35"/>
      <c r="D207" s="35"/>
      <c r="E207" s="35"/>
      <c r="F207" s="35"/>
      <c r="G207" s="35"/>
      <c r="H207" s="35"/>
      <c r="I207" s="35"/>
      <c r="J207" s="56"/>
      <c r="K207" s="58"/>
      <c r="L207" s="35"/>
      <c r="M207" s="35"/>
    </row>
    <row r="208" customFormat="false" ht="15" hidden="false" customHeight="true" outlineLevel="0" collapsed="false">
      <c r="A208" s="36"/>
      <c r="B208" s="35"/>
      <c r="C208" s="35"/>
      <c r="D208" s="35"/>
      <c r="E208" s="35"/>
      <c r="F208" s="35"/>
      <c r="G208" s="35"/>
      <c r="H208" s="35"/>
      <c r="I208" s="35"/>
      <c r="J208" s="56"/>
      <c r="K208" s="58"/>
      <c r="L208" s="35"/>
      <c r="M208" s="35"/>
    </row>
    <row r="209" customFormat="false" ht="15" hidden="false" customHeight="true" outlineLevel="0" collapsed="false">
      <c r="A209" s="36"/>
      <c r="B209" s="35"/>
      <c r="C209" s="35"/>
      <c r="D209" s="35"/>
      <c r="E209" s="35"/>
      <c r="F209" s="35"/>
      <c r="G209" s="35"/>
      <c r="H209" s="35"/>
      <c r="I209" s="35"/>
      <c r="J209" s="56"/>
      <c r="K209" s="58"/>
      <c r="L209" s="35"/>
      <c r="M209" s="35"/>
    </row>
    <row r="210" customFormat="false" ht="15" hidden="false" customHeight="true" outlineLevel="0" collapsed="false">
      <c r="A210" s="36"/>
      <c r="B210" s="35"/>
      <c r="C210" s="35"/>
      <c r="D210" s="35"/>
      <c r="E210" s="35"/>
      <c r="F210" s="35"/>
      <c r="G210" s="35"/>
      <c r="H210" s="35"/>
      <c r="I210" s="35"/>
      <c r="J210" s="56"/>
      <c r="K210" s="58"/>
      <c r="L210" s="35"/>
      <c r="M210" s="35"/>
    </row>
    <row r="211" customFormat="false" ht="15" hidden="false" customHeight="true" outlineLevel="0" collapsed="false">
      <c r="A211" s="36"/>
      <c r="B211" s="35"/>
      <c r="C211" s="35"/>
      <c r="D211" s="35"/>
      <c r="E211" s="35"/>
      <c r="F211" s="35"/>
      <c r="G211" s="35"/>
      <c r="H211" s="35"/>
      <c r="I211" s="35"/>
      <c r="J211" s="56"/>
      <c r="K211" s="58"/>
      <c r="L211" s="35"/>
      <c r="M211" s="35"/>
    </row>
    <row r="212" customFormat="false" ht="15" hidden="false" customHeight="true" outlineLevel="0" collapsed="false">
      <c r="A212" s="36"/>
      <c r="B212" s="35"/>
      <c r="C212" s="35"/>
      <c r="D212" s="35"/>
      <c r="E212" s="35"/>
      <c r="F212" s="35"/>
      <c r="G212" s="35"/>
      <c r="H212" s="35"/>
      <c r="I212" s="35"/>
      <c r="J212" s="56"/>
      <c r="K212" s="58"/>
      <c r="L212" s="35"/>
      <c r="M212" s="35"/>
    </row>
    <row r="213" customFormat="false" ht="15" hidden="false" customHeight="true" outlineLevel="0" collapsed="false">
      <c r="A213" s="36"/>
      <c r="B213" s="35"/>
      <c r="C213" s="35"/>
      <c r="D213" s="35"/>
      <c r="E213" s="35"/>
      <c r="F213" s="35"/>
      <c r="G213" s="35"/>
      <c r="H213" s="35"/>
      <c r="I213" s="35"/>
      <c r="J213" s="56"/>
      <c r="K213" s="58"/>
      <c r="L213" s="35"/>
      <c r="M213" s="35"/>
    </row>
    <row r="214" customFormat="false" ht="15" hidden="false" customHeight="true" outlineLevel="0" collapsed="false">
      <c r="A214" s="36"/>
      <c r="B214" s="35"/>
      <c r="C214" s="35"/>
      <c r="D214" s="35"/>
      <c r="E214" s="35"/>
      <c r="F214" s="35"/>
      <c r="G214" s="35"/>
      <c r="H214" s="35"/>
      <c r="I214" s="35"/>
      <c r="J214" s="56"/>
      <c r="K214" s="58"/>
      <c r="L214" s="35"/>
      <c r="M214" s="35"/>
    </row>
    <row r="215" customFormat="false" ht="15" hidden="false" customHeight="true" outlineLevel="0" collapsed="false">
      <c r="A215" s="36"/>
      <c r="B215" s="35"/>
      <c r="C215" s="35"/>
      <c r="D215" s="35"/>
      <c r="E215" s="35"/>
      <c r="F215" s="35"/>
      <c r="G215" s="35"/>
      <c r="H215" s="35"/>
      <c r="I215" s="35"/>
      <c r="J215" s="56"/>
      <c r="K215" s="58"/>
      <c r="L215" s="35"/>
      <c r="M215" s="35"/>
    </row>
    <row r="216" customFormat="false" ht="15" hidden="false" customHeight="true" outlineLevel="0" collapsed="false">
      <c r="A216" s="36"/>
      <c r="B216" s="35"/>
      <c r="C216" s="35"/>
      <c r="D216" s="35"/>
      <c r="E216" s="35"/>
      <c r="F216" s="35"/>
      <c r="G216" s="35"/>
      <c r="H216" s="35"/>
      <c r="I216" s="35"/>
      <c r="J216" s="56"/>
      <c r="K216" s="58"/>
      <c r="L216" s="35"/>
      <c r="M216" s="35"/>
    </row>
    <row r="217" customFormat="false" ht="15" hidden="false" customHeight="true" outlineLevel="0" collapsed="false">
      <c r="A217" s="36"/>
      <c r="B217" s="35"/>
      <c r="C217" s="35"/>
      <c r="D217" s="35"/>
      <c r="E217" s="35"/>
      <c r="F217" s="35"/>
      <c r="G217" s="35"/>
      <c r="H217" s="35"/>
      <c r="I217" s="35"/>
      <c r="J217" s="56"/>
      <c r="K217" s="58"/>
      <c r="L217" s="35"/>
      <c r="M217" s="35"/>
    </row>
    <row r="218" customFormat="false" ht="15" hidden="false" customHeight="true" outlineLevel="0" collapsed="false">
      <c r="A218" s="36"/>
      <c r="B218" s="35"/>
      <c r="C218" s="35"/>
      <c r="D218" s="35"/>
      <c r="E218" s="35"/>
      <c r="F218" s="35"/>
      <c r="G218" s="35"/>
      <c r="H218" s="35"/>
      <c r="I218" s="35"/>
      <c r="J218" s="56"/>
      <c r="K218" s="58"/>
      <c r="L218" s="35"/>
      <c r="M218" s="35"/>
    </row>
    <row r="219" customFormat="false" ht="15" hidden="false" customHeight="true" outlineLevel="0" collapsed="false">
      <c r="A219" s="36"/>
      <c r="B219" s="35"/>
      <c r="C219" s="35"/>
      <c r="D219" s="35"/>
      <c r="E219" s="35"/>
      <c r="F219" s="35"/>
      <c r="G219" s="35"/>
      <c r="H219" s="35"/>
      <c r="I219" s="35"/>
      <c r="J219" s="56"/>
      <c r="K219" s="58"/>
      <c r="L219" s="35"/>
      <c r="M219" s="35"/>
    </row>
    <row r="220" customFormat="false" ht="15" hidden="false" customHeight="true" outlineLevel="0" collapsed="false">
      <c r="A220" s="36"/>
      <c r="B220" s="35"/>
      <c r="C220" s="35"/>
      <c r="D220" s="35"/>
      <c r="E220" s="35"/>
      <c r="F220" s="35"/>
      <c r="G220" s="35"/>
      <c r="H220" s="35"/>
      <c r="I220" s="35"/>
      <c r="J220" s="56"/>
      <c r="K220" s="58"/>
      <c r="L220" s="35"/>
      <c r="M220" s="35"/>
    </row>
    <row r="221" customFormat="false" ht="15" hidden="false" customHeight="true" outlineLevel="0" collapsed="false">
      <c r="A221" s="36"/>
      <c r="B221" s="35"/>
      <c r="C221" s="35"/>
      <c r="D221" s="35"/>
      <c r="E221" s="35"/>
      <c r="F221" s="35"/>
      <c r="G221" s="35"/>
      <c r="H221" s="35"/>
      <c r="I221" s="35"/>
      <c r="J221" s="56"/>
      <c r="K221" s="58"/>
      <c r="L221" s="35"/>
      <c r="M221" s="35"/>
    </row>
    <row r="222" customFormat="false" ht="15" hidden="false" customHeight="true" outlineLevel="0" collapsed="false">
      <c r="A222" s="36"/>
      <c r="B222" s="35"/>
      <c r="C222" s="35"/>
      <c r="D222" s="35"/>
      <c r="E222" s="35"/>
      <c r="F222" s="35"/>
      <c r="G222" s="35"/>
      <c r="H222" s="35"/>
      <c r="I222" s="35"/>
      <c r="J222" s="56"/>
      <c r="K222" s="58"/>
      <c r="L222" s="35"/>
      <c r="M222" s="35"/>
    </row>
    <row r="223" customFormat="false" ht="15" hidden="false" customHeight="true" outlineLevel="0" collapsed="false">
      <c r="A223" s="36"/>
      <c r="B223" s="35"/>
      <c r="C223" s="35"/>
      <c r="D223" s="35"/>
      <c r="E223" s="35"/>
      <c r="F223" s="35"/>
      <c r="G223" s="35"/>
      <c r="H223" s="35"/>
      <c r="I223" s="35"/>
      <c r="J223" s="56"/>
      <c r="K223" s="58"/>
      <c r="L223" s="35"/>
      <c r="M223" s="35"/>
    </row>
    <row r="224" customFormat="false" ht="15" hidden="false" customHeight="true" outlineLevel="0" collapsed="false">
      <c r="A224" s="36"/>
      <c r="B224" s="35"/>
      <c r="C224" s="35"/>
      <c r="D224" s="35"/>
      <c r="E224" s="35"/>
      <c r="F224" s="35"/>
      <c r="G224" s="35"/>
      <c r="H224" s="35"/>
      <c r="I224" s="35"/>
      <c r="J224" s="56"/>
      <c r="K224" s="58"/>
      <c r="L224" s="35"/>
      <c r="M224" s="35"/>
    </row>
    <row r="225" customFormat="false" ht="15" hidden="false" customHeight="true" outlineLevel="0" collapsed="false">
      <c r="A225" s="36"/>
      <c r="B225" s="35"/>
      <c r="C225" s="35"/>
      <c r="D225" s="35"/>
      <c r="E225" s="35"/>
      <c r="F225" s="35"/>
      <c r="G225" s="35"/>
      <c r="H225" s="35"/>
      <c r="I225" s="35"/>
      <c r="J225" s="56"/>
      <c r="K225" s="58"/>
      <c r="L225" s="35"/>
      <c r="M225" s="35"/>
    </row>
    <row r="226" customFormat="false" ht="15" hidden="false" customHeight="true" outlineLevel="0" collapsed="false">
      <c r="A226" s="36"/>
      <c r="B226" s="35"/>
      <c r="C226" s="35"/>
      <c r="D226" s="35"/>
      <c r="E226" s="35"/>
      <c r="F226" s="35"/>
      <c r="G226" s="35"/>
      <c r="H226" s="35"/>
      <c r="I226" s="35"/>
      <c r="J226" s="56"/>
      <c r="K226" s="58"/>
      <c r="L226" s="35"/>
      <c r="M226" s="35"/>
    </row>
    <row r="227" customFormat="false" ht="15" hidden="false" customHeight="true" outlineLevel="0" collapsed="false">
      <c r="A227" s="36"/>
      <c r="B227" s="35"/>
      <c r="C227" s="35"/>
      <c r="D227" s="35"/>
      <c r="E227" s="35"/>
      <c r="F227" s="35"/>
      <c r="G227" s="35"/>
      <c r="H227" s="35"/>
      <c r="I227" s="35"/>
      <c r="J227" s="56"/>
      <c r="K227" s="58"/>
      <c r="L227" s="35"/>
      <c r="M227" s="35"/>
    </row>
    <row r="228" customFormat="false" ht="15" hidden="false" customHeight="true" outlineLevel="0" collapsed="false">
      <c r="A228" s="36"/>
      <c r="B228" s="35"/>
      <c r="C228" s="35"/>
      <c r="D228" s="35"/>
      <c r="E228" s="35"/>
      <c r="F228" s="35"/>
      <c r="G228" s="35"/>
      <c r="H228" s="35"/>
      <c r="I228" s="35"/>
      <c r="J228" s="56"/>
      <c r="K228" s="58"/>
      <c r="L228" s="35"/>
      <c r="M228" s="35"/>
    </row>
    <row r="229" customFormat="false" ht="15" hidden="false" customHeight="true" outlineLevel="0" collapsed="false">
      <c r="A229" s="36"/>
      <c r="B229" s="35"/>
      <c r="C229" s="35"/>
      <c r="D229" s="35"/>
      <c r="E229" s="35"/>
      <c r="F229" s="35"/>
      <c r="G229" s="35"/>
      <c r="H229" s="35"/>
      <c r="I229" s="35"/>
      <c r="J229" s="56"/>
      <c r="K229" s="58"/>
      <c r="L229" s="35"/>
      <c r="M229" s="35"/>
    </row>
    <row r="230" customFormat="false" ht="15" hidden="false" customHeight="true" outlineLevel="0" collapsed="false">
      <c r="A230" s="36"/>
      <c r="B230" s="35"/>
      <c r="C230" s="35"/>
      <c r="D230" s="35"/>
      <c r="E230" s="35"/>
      <c r="F230" s="35"/>
      <c r="G230" s="35"/>
      <c r="H230" s="35"/>
      <c r="I230" s="35"/>
      <c r="J230" s="56"/>
      <c r="K230" s="58"/>
      <c r="L230" s="35"/>
      <c r="M230" s="35"/>
    </row>
    <row r="231" customFormat="false" ht="15" hidden="false" customHeight="true" outlineLevel="0" collapsed="false">
      <c r="A231" s="36"/>
      <c r="B231" s="35"/>
      <c r="C231" s="35"/>
      <c r="D231" s="35"/>
      <c r="E231" s="35"/>
      <c r="F231" s="35"/>
      <c r="G231" s="35"/>
      <c r="H231" s="35"/>
      <c r="I231" s="35"/>
      <c r="J231" s="56"/>
      <c r="K231" s="58"/>
      <c r="L231" s="35"/>
      <c r="M231" s="35"/>
    </row>
    <row r="232" customFormat="false" ht="15" hidden="false" customHeight="true" outlineLevel="0" collapsed="false">
      <c r="A232" s="36"/>
      <c r="B232" s="35"/>
      <c r="C232" s="35"/>
      <c r="D232" s="35"/>
      <c r="E232" s="35"/>
      <c r="F232" s="35"/>
      <c r="G232" s="35"/>
      <c r="H232" s="35"/>
      <c r="I232" s="35"/>
      <c r="J232" s="56"/>
      <c r="K232" s="58"/>
      <c r="L232" s="35"/>
      <c r="M232" s="35"/>
    </row>
    <row r="233" customFormat="false" ht="15" hidden="false" customHeight="true" outlineLevel="0" collapsed="false">
      <c r="A233" s="36"/>
      <c r="B233" s="35"/>
      <c r="C233" s="35"/>
      <c r="D233" s="35"/>
      <c r="E233" s="35"/>
      <c r="F233" s="35"/>
      <c r="G233" s="35"/>
      <c r="H233" s="35"/>
      <c r="I233" s="35"/>
      <c r="J233" s="56"/>
      <c r="K233" s="58"/>
      <c r="L233" s="35"/>
      <c r="M233" s="35"/>
    </row>
    <row r="234" customFormat="false" ht="15" hidden="false" customHeight="true" outlineLevel="0" collapsed="false">
      <c r="A234" s="36"/>
      <c r="B234" s="35"/>
      <c r="C234" s="35"/>
      <c r="D234" s="35"/>
      <c r="E234" s="35"/>
      <c r="F234" s="35"/>
      <c r="G234" s="35"/>
      <c r="H234" s="35"/>
      <c r="I234" s="35"/>
      <c r="J234" s="56"/>
      <c r="K234" s="58"/>
      <c r="L234" s="35"/>
      <c r="M234" s="35"/>
    </row>
    <row r="235" customFormat="false" ht="15" hidden="false" customHeight="true" outlineLevel="0" collapsed="false">
      <c r="A235" s="36"/>
      <c r="B235" s="35"/>
      <c r="C235" s="35"/>
      <c r="D235" s="35"/>
      <c r="E235" s="35"/>
      <c r="F235" s="35"/>
      <c r="G235" s="35"/>
      <c r="H235" s="35"/>
      <c r="I235" s="35"/>
      <c r="J235" s="56"/>
      <c r="K235" s="58"/>
      <c r="L235" s="35"/>
      <c r="M235" s="35"/>
    </row>
    <row r="236" customFormat="false" ht="15" hidden="false" customHeight="true" outlineLevel="0" collapsed="false">
      <c r="A236" s="36"/>
      <c r="B236" s="35"/>
      <c r="C236" s="35"/>
      <c r="D236" s="35"/>
      <c r="E236" s="35"/>
      <c r="F236" s="35"/>
      <c r="G236" s="35"/>
      <c r="H236" s="35"/>
      <c r="I236" s="35"/>
      <c r="J236" s="56"/>
      <c r="K236" s="58"/>
      <c r="L236" s="35"/>
      <c r="M236" s="35"/>
    </row>
    <row r="237" customFormat="false" ht="15" hidden="false" customHeight="true" outlineLevel="0" collapsed="false">
      <c r="A237" s="36"/>
      <c r="B237" s="35"/>
      <c r="C237" s="35"/>
      <c r="D237" s="35"/>
      <c r="E237" s="35"/>
      <c r="F237" s="35"/>
      <c r="G237" s="35"/>
      <c r="H237" s="35"/>
      <c r="I237" s="35"/>
      <c r="J237" s="56"/>
      <c r="K237" s="58"/>
      <c r="L237" s="35"/>
      <c r="M237" s="35"/>
    </row>
    <row r="238" customFormat="false" ht="15" hidden="false" customHeight="true" outlineLevel="0" collapsed="false">
      <c r="A238" s="36"/>
      <c r="B238" s="35"/>
      <c r="C238" s="35"/>
      <c r="D238" s="35"/>
      <c r="E238" s="35"/>
      <c r="F238" s="35"/>
      <c r="G238" s="35"/>
      <c r="H238" s="35"/>
      <c r="I238" s="35"/>
      <c r="J238" s="56"/>
      <c r="K238" s="58"/>
      <c r="L238" s="35"/>
      <c r="M238" s="35"/>
    </row>
    <row r="239" customFormat="false" ht="15" hidden="false" customHeight="true" outlineLevel="0" collapsed="false">
      <c r="A239" s="36"/>
      <c r="B239" s="35"/>
      <c r="C239" s="35"/>
      <c r="D239" s="35"/>
      <c r="E239" s="35"/>
      <c r="F239" s="35"/>
      <c r="G239" s="35"/>
      <c r="H239" s="35"/>
      <c r="I239" s="35"/>
      <c r="J239" s="56"/>
      <c r="K239" s="58"/>
      <c r="L239" s="35"/>
      <c r="M239" s="35"/>
    </row>
    <row r="240" customFormat="false" ht="15" hidden="false" customHeight="true" outlineLevel="0" collapsed="false">
      <c r="A240" s="36"/>
      <c r="B240" s="35"/>
      <c r="C240" s="35"/>
      <c r="D240" s="35"/>
      <c r="E240" s="35"/>
      <c r="F240" s="35"/>
      <c r="G240" s="35"/>
      <c r="H240" s="35"/>
      <c r="I240" s="35"/>
      <c r="J240" s="56"/>
      <c r="K240" s="58"/>
      <c r="L240" s="35"/>
      <c r="M240" s="35"/>
    </row>
    <row r="241" customFormat="false" ht="15" hidden="false" customHeight="true" outlineLevel="0" collapsed="false">
      <c r="A241" s="36"/>
      <c r="B241" s="35"/>
      <c r="C241" s="35"/>
      <c r="D241" s="35"/>
      <c r="E241" s="35"/>
      <c r="F241" s="35"/>
      <c r="G241" s="35"/>
      <c r="H241" s="35"/>
      <c r="I241" s="35"/>
      <c r="J241" s="56"/>
      <c r="K241" s="58"/>
      <c r="L241" s="35"/>
      <c r="M241" s="35"/>
    </row>
    <row r="242" customFormat="false" ht="15" hidden="false" customHeight="true" outlineLevel="0" collapsed="false">
      <c r="A242" s="36"/>
      <c r="B242" s="35"/>
      <c r="C242" s="35"/>
      <c r="D242" s="35"/>
      <c r="E242" s="35"/>
      <c r="F242" s="35"/>
      <c r="G242" s="35"/>
      <c r="H242" s="35"/>
      <c r="I242" s="35"/>
      <c r="J242" s="56"/>
      <c r="K242" s="58"/>
      <c r="L242" s="35"/>
      <c r="M242" s="35"/>
    </row>
    <row r="243" customFormat="false" ht="15" hidden="false" customHeight="true" outlineLevel="0" collapsed="false">
      <c r="A243" s="36"/>
      <c r="B243" s="35"/>
      <c r="C243" s="35"/>
      <c r="D243" s="35"/>
      <c r="E243" s="35"/>
      <c r="F243" s="35"/>
      <c r="G243" s="35"/>
      <c r="H243" s="35"/>
      <c r="I243" s="35"/>
      <c r="J243" s="56"/>
      <c r="K243" s="58"/>
      <c r="L243" s="35"/>
      <c r="M243" s="35"/>
    </row>
    <row r="244" customFormat="false" ht="15" hidden="false" customHeight="true" outlineLevel="0" collapsed="false">
      <c r="A244" s="36"/>
      <c r="B244" s="35"/>
      <c r="C244" s="35"/>
      <c r="D244" s="35"/>
      <c r="E244" s="35"/>
      <c r="F244" s="35"/>
      <c r="G244" s="35"/>
      <c r="H244" s="35"/>
      <c r="I244" s="35"/>
      <c r="J244" s="56"/>
      <c r="K244" s="58"/>
      <c r="L244" s="35"/>
      <c r="M244" s="35"/>
    </row>
    <row r="245" customFormat="false" ht="15" hidden="false" customHeight="true" outlineLevel="0" collapsed="false">
      <c r="A245" s="36"/>
      <c r="B245" s="35"/>
      <c r="C245" s="35"/>
      <c r="D245" s="35"/>
      <c r="E245" s="35"/>
      <c r="F245" s="35"/>
      <c r="G245" s="35"/>
      <c r="H245" s="35"/>
      <c r="I245" s="35"/>
      <c r="J245" s="56"/>
      <c r="K245" s="58"/>
      <c r="L245" s="35"/>
      <c r="M245" s="35"/>
    </row>
    <row r="246" customFormat="false" ht="15" hidden="false" customHeight="true" outlineLevel="0" collapsed="false">
      <c r="A246" s="36"/>
      <c r="B246" s="35"/>
      <c r="C246" s="35"/>
      <c r="D246" s="35"/>
      <c r="E246" s="35"/>
      <c r="F246" s="35"/>
      <c r="G246" s="35"/>
      <c r="H246" s="35"/>
      <c r="I246" s="35"/>
      <c r="J246" s="56"/>
      <c r="K246" s="58"/>
      <c r="L246" s="35"/>
      <c r="M246" s="35"/>
    </row>
    <row r="247" customFormat="false" ht="15" hidden="false" customHeight="true" outlineLevel="0" collapsed="false">
      <c r="A247" s="36"/>
      <c r="B247" s="35"/>
      <c r="C247" s="35"/>
      <c r="D247" s="35"/>
      <c r="E247" s="35"/>
      <c r="F247" s="35"/>
      <c r="G247" s="35"/>
      <c r="H247" s="35"/>
      <c r="I247" s="35"/>
      <c r="J247" s="56"/>
      <c r="K247" s="58"/>
      <c r="L247" s="35"/>
      <c r="M247" s="35"/>
    </row>
    <row r="248" customFormat="false" ht="15" hidden="false" customHeight="true" outlineLevel="0" collapsed="false">
      <c r="A248" s="36"/>
      <c r="B248" s="35"/>
      <c r="C248" s="35"/>
      <c r="D248" s="35"/>
      <c r="E248" s="35"/>
      <c r="F248" s="35"/>
      <c r="G248" s="35"/>
      <c r="H248" s="35"/>
      <c r="I248" s="35"/>
      <c r="J248" s="56"/>
      <c r="K248" s="58"/>
      <c r="L248" s="35"/>
      <c r="M248" s="35"/>
    </row>
    <row r="249" customFormat="false" ht="15" hidden="false" customHeight="true" outlineLevel="0" collapsed="false">
      <c r="A249" s="36"/>
      <c r="B249" s="35"/>
      <c r="C249" s="35"/>
      <c r="D249" s="35"/>
      <c r="E249" s="35"/>
      <c r="F249" s="35"/>
      <c r="G249" s="35"/>
      <c r="H249" s="35"/>
      <c r="I249" s="35"/>
      <c r="J249" s="56"/>
      <c r="K249" s="58"/>
      <c r="L249" s="35"/>
      <c r="M249" s="35"/>
    </row>
    <row r="250" customFormat="false" ht="15" hidden="false" customHeight="true" outlineLevel="0" collapsed="false">
      <c r="A250" s="36"/>
      <c r="B250" s="35"/>
      <c r="C250" s="35"/>
      <c r="D250" s="35"/>
      <c r="E250" s="35"/>
      <c r="F250" s="35"/>
      <c r="G250" s="35"/>
      <c r="H250" s="35"/>
      <c r="I250" s="35"/>
      <c r="J250" s="56"/>
      <c r="K250" s="58"/>
      <c r="L250" s="35"/>
      <c r="M250" s="35"/>
    </row>
    <row r="251" customFormat="false" ht="15" hidden="false" customHeight="true" outlineLevel="0" collapsed="false">
      <c r="A251" s="36"/>
      <c r="B251" s="35"/>
      <c r="C251" s="35"/>
      <c r="D251" s="35"/>
      <c r="E251" s="35"/>
      <c r="F251" s="35"/>
      <c r="G251" s="35"/>
      <c r="H251" s="35"/>
      <c r="I251" s="35"/>
      <c r="J251" s="56"/>
      <c r="K251" s="58"/>
      <c r="L251" s="35"/>
      <c r="M251" s="35"/>
    </row>
    <row r="252" customFormat="false" ht="15" hidden="false" customHeight="true" outlineLevel="0" collapsed="false">
      <c r="A252" s="36"/>
      <c r="B252" s="35"/>
      <c r="C252" s="35"/>
      <c r="D252" s="35"/>
      <c r="E252" s="35"/>
      <c r="F252" s="35"/>
      <c r="G252" s="35"/>
      <c r="H252" s="35"/>
      <c r="I252" s="35"/>
      <c r="J252" s="56"/>
      <c r="K252" s="58"/>
      <c r="L252" s="35"/>
      <c r="M252" s="35"/>
    </row>
    <row r="253" customFormat="false" ht="15" hidden="false" customHeight="true" outlineLevel="0" collapsed="false">
      <c r="A253" s="36"/>
      <c r="B253" s="35"/>
      <c r="C253" s="35"/>
      <c r="D253" s="35"/>
      <c r="E253" s="35"/>
      <c r="F253" s="35"/>
      <c r="G253" s="35"/>
      <c r="H253" s="35"/>
      <c r="I253" s="35"/>
      <c r="J253" s="56"/>
      <c r="K253" s="58"/>
      <c r="L253" s="35"/>
      <c r="M253" s="35"/>
    </row>
    <row r="254" customFormat="false" ht="15" hidden="false" customHeight="true" outlineLevel="0" collapsed="false">
      <c r="A254" s="36"/>
      <c r="B254" s="35"/>
      <c r="C254" s="35"/>
      <c r="D254" s="35"/>
      <c r="E254" s="35"/>
      <c r="F254" s="35"/>
      <c r="G254" s="35"/>
      <c r="H254" s="35"/>
      <c r="I254" s="35"/>
      <c r="J254" s="56"/>
      <c r="K254" s="58"/>
      <c r="L254" s="35"/>
      <c r="M254" s="35"/>
    </row>
    <row r="255" customFormat="false" ht="15" hidden="false" customHeight="true" outlineLevel="0" collapsed="false">
      <c r="A255" s="36"/>
      <c r="B255" s="35"/>
      <c r="C255" s="35"/>
      <c r="D255" s="35"/>
      <c r="E255" s="35"/>
      <c r="F255" s="35"/>
      <c r="G255" s="35"/>
      <c r="H255" s="35"/>
      <c r="I255" s="35"/>
      <c r="J255" s="56"/>
      <c r="K255" s="58"/>
      <c r="L255" s="35"/>
      <c r="M255" s="35"/>
    </row>
    <row r="256" customFormat="false" ht="15" hidden="false" customHeight="true" outlineLevel="0" collapsed="false">
      <c r="A256" s="36"/>
      <c r="B256" s="35"/>
      <c r="C256" s="35"/>
      <c r="D256" s="35"/>
      <c r="E256" s="35"/>
      <c r="F256" s="35"/>
      <c r="G256" s="35"/>
      <c r="H256" s="35"/>
      <c r="I256" s="35"/>
      <c r="J256" s="56"/>
      <c r="K256" s="58"/>
      <c r="L256" s="35"/>
      <c r="M256" s="35"/>
    </row>
    <row r="257" customFormat="false" ht="15" hidden="false" customHeight="true" outlineLevel="0" collapsed="false">
      <c r="A257" s="36"/>
      <c r="B257" s="35"/>
      <c r="C257" s="35"/>
      <c r="D257" s="35"/>
      <c r="E257" s="35"/>
      <c r="F257" s="35"/>
      <c r="G257" s="35"/>
      <c r="H257" s="35"/>
      <c r="I257" s="35"/>
      <c r="J257" s="56"/>
      <c r="K257" s="58"/>
      <c r="L257" s="35"/>
      <c r="M257" s="35"/>
    </row>
    <row r="258" customFormat="false" ht="15" hidden="false" customHeight="true" outlineLevel="0" collapsed="false">
      <c r="A258" s="36"/>
      <c r="B258" s="35"/>
      <c r="C258" s="35"/>
      <c r="D258" s="35"/>
      <c r="E258" s="35"/>
      <c r="F258" s="35"/>
      <c r="G258" s="35"/>
      <c r="H258" s="35"/>
      <c r="I258" s="35"/>
      <c r="J258" s="56"/>
      <c r="K258" s="58"/>
      <c r="L258" s="35"/>
      <c r="M258" s="35"/>
    </row>
    <row r="259" customFormat="false" ht="15" hidden="false" customHeight="true" outlineLevel="0" collapsed="false">
      <c r="A259" s="36"/>
      <c r="B259" s="35"/>
      <c r="C259" s="35"/>
      <c r="D259" s="35"/>
      <c r="E259" s="35"/>
      <c r="F259" s="35"/>
      <c r="G259" s="35"/>
      <c r="H259" s="35"/>
      <c r="I259" s="35"/>
      <c r="J259" s="56"/>
      <c r="K259" s="58"/>
      <c r="L259" s="35"/>
      <c r="M259" s="35"/>
    </row>
    <row r="260" customFormat="false" ht="15" hidden="false" customHeight="true" outlineLevel="0" collapsed="false">
      <c r="A260" s="36"/>
      <c r="B260" s="35"/>
      <c r="C260" s="35"/>
      <c r="D260" s="35"/>
      <c r="E260" s="35"/>
      <c r="F260" s="35"/>
      <c r="G260" s="35"/>
      <c r="H260" s="35"/>
      <c r="I260" s="35"/>
      <c r="J260" s="56"/>
      <c r="K260" s="58"/>
      <c r="L260" s="35"/>
      <c r="M260" s="35"/>
    </row>
    <row r="261" customFormat="false" ht="15" hidden="false" customHeight="true" outlineLevel="0" collapsed="false">
      <c r="A261" s="36"/>
      <c r="B261" s="35"/>
      <c r="C261" s="35"/>
      <c r="D261" s="35"/>
      <c r="E261" s="35"/>
      <c r="F261" s="35"/>
      <c r="G261" s="35"/>
      <c r="H261" s="35"/>
      <c r="I261" s="35"/>
      <c r="J261" s="56"/>
      <c r="K261" s="58"/>
      <c r="L261" s="35"/>
      <c r="M261" s="35"/>
    </row>
    <row r="262" customFormat="false" ht="15" hidden="false" customHeight="true" outlineLevel="0" collapsed="false">
      <c r="A262" s="36"/>
      <c r="B262" s="35"/>
      <c r="C262" s="35"/>
      <c r="D262" s="35"/>
      <c r="E262" s="35"/>
      <c r="F262" s="35"/>
      <c r="G262" s="35"/>
      <c r="H262" s="35"/>
      <c r="I262" s="35"/>
      <c r="J262" s="56"/>
      <c r="K262" s="58"/>
      <c r="L262" s="35"/>
      <c r="M262" s="35"/>
    </row>
    <row r="263" customFormat="false" ht="15" hidden="false" customHeight="true" outlineLevel="0" collapsed="false">
      <c r="A263" s="36"/>
      <c r="B263" s="35"/>
      <c r="C263" s="35"/>
      <c r="D263" s="35"/>
      <c r="E263" s="35"/>
      <c r="F263" s="35"/>
      <c r="G263" s="35"/>
      <c r="H263" s="35"/>
      <c r="I263" s="35"/>
      <c r="J263" s="56"/>
      <c r="K263" s="58"/>
      <c r="L263" s="35"/>
      <c r="M263" s="35"/>
    </row>
    <row r="264" customFormat="false" ht="15" hidden="false" customHeight="true" outlineLevel="0" collapsed="false">
      <c r="A264" s="36"/>
      <c r="B264" s="35"/>
      <c r="C264" s="35"/>
      <c r="D264" s="35"/>
      <c r="E264" s="35"/>
      <c r="F264" s="35"/>
      <c r="G264" s="35"/>
      <c r="H264" s="35"/>
      <c r="I264" s="35"/>
      <c r="J264" s="56"/>
      <c r="K264" s="58"/>
      <c r="L264" s="35"/>
      <c r="M264" s="35"/>
    </row>
    <row r="265" customFormat="false" ht="15" hidden="false" customHeight="true" outlineLevel="0" collapsed="false">
      <c r="A265" s="36"/>
      <c r="B265" s="35"/>
      <c r="C265" s="35"/>
      <c r="D265" s="35"/>
      <c r="E265" s="35"/>
      <c r="F265" s="35"/>
      <c r="G265" s="35"/>
      <c r="H265" s="35"/>
      <c r="I265" s="35"/>
      <c r="J265" s="56"/>
      <c r="K265" s="58"/>
      <c r="L265" s="35"/>
      <c r="M265" s="35"/>
    </row>
    <row r="266" customFormat="false" ht="15" hidden="false" customHeight="true" outlineLevel="0" collapsed="false">
      <c r="A266" s="36"/>
      <c r="B266" s="35"/>
      <c r="C266" s="35"/>
      <c r="D266" s="35"/>
      <c r="E266" s="35"/>
      <c r="F266" s="35"/>
      <c r="G266" s="35"/>
      <c r="H266" s="35"/>
      <c r="I266" s="35"/>
      <c r="J266" s="56"/>
      <c r="K266" s="58"/>
      <c r="L266" s="35"/>
      <c r="M266" s="35"/>
    </row>
    <row r="267" customFormat="false" ht="15" hidden="false" customHeight="true" outlineLevel="0" collapsed="false">
      <c r="A267" s="36"/>
      <c r="B267" s="35"/>
      <c r="C267" s="35"/>
      <c r="D267" s="35"/>
      <c r="E267" s="35"/>
      <c r="F267" s="35"/>
      <c r="G267" s="35"/>
      <c r="H267" s="35"/>
      <c r="I267" s="35"/>
      <c r="J267" s="56"/>
      <c r="K267" s="58"/>
      <c r="L267" s="35"/>
      <c r="M267" s="35"/>
    </row>
    <row r="268" customFormat="false" ht="15" hidden="false" customHeight="true" outlineLevel="0" collapsed="false">
      <c r="A268" s="36"/>
      <c r="B268" s="35"/>
      <c r="C268" s="35"/>
      <c r="D268" s="35"/>
      <c r="E268" s="35"/>
      <c r="F268" s="35"/>
      <c r="G268" s="35"/>
      <c r="H268" s="35"/>
      <c r="I268" s="35"/>
      <c r="J268" s="56"/>
      <c r="K268" s="58"/>
      <c r="L268" s="35"/>
      <c r="M268" s="35"/>
    </row>
    <row r="269" customFormat="false" ht="15" hidden="false" customHeight="true" outlineLevel="0" collapsed="false">
      <c r="A269" s="36"/>
      <c r="B269" s="35"/>
      <c r="C269" s="35"/>
      <c r="D269" s="35"/>
      <c r="E269" s="35"/>
      <c r="F269" s="35"/>
      <c r="G269" s="35"/>
      <c r="H269" s="35"/>
      <c r="I269" s="35"/>
      <c r="J269" s="56"/>
      <c r="K269" s="58"/>
      <c r="L269" s="35"/>
      <c r="M269" s="35"/>
    </row>
    <row r="270" customFormat="false" ht="15" hidden="false" customHeight="true" outlineLevel="0" collapsed="false">
      <c r="A270" s="36"/>
      <c r="B270" s="35"/>
      <c r="C270" s="35"/>
      <c r="D270" s="35"/>
      <c r="E270" s="35"/>
      <c r="F270" s="35"/>
      <c r="G270" s="35"/>
      <c r="H270" s="35"/>
      <c r="I270" s="35"/>
      <c r="J270" s="56"/>
      <c r="K270" s="58"/>
      <c r="L270" s="35"/>
      <c r="M270" s="35"/>
    </row>
    <row r="271" customFormat="false" ht="15" hidden="false" customHeight="true" outlineLevel="0" collapsed="false">
      <c r="A271" s="36"/>
      <c r="B271" s="35"/>
      <c r="C271" s="35"/>
      <c r="D271" s="35"/>
      <c r="E271" s="35"/>
      <c r="F271" s="35"/>
      <c r="G271" s="35"/>
      <c r="H271" s="35"/>
      <c r="I271" s="35"/>
      <c r="J271" s="56"/>
      <c r="K271" s="58"/>
      <c r="L271" s="35"/>
      <c r="M271" s="35"/>
    </row>
    <row r="272" customFormat="false" ht="15" hidden="false" customHeight="true" outlineLevel="0" collapsed="false">
      <c r="A272" s="36"/>
      <c r="B272" s="35"/>
      <c r="C272" s="35"/>
      <c r="D272" s="35"/>
      <c r="E272" s="35"/>
      <c r="F272" s="35"/>
      <c r="G272" s="35"/>
      <c r="H272" s="35"/>
      <c r="I272" s="35"/>
      <c r="J272" s="56"/>
      <c r="K272" s="58"/>
      <c r="L272" s="35"/>
      <c r="M272" s="35"/>
    </row>
    <row r="273" customFormat="false" ht="15" hidden="false" customHeight="true" outlineLevel="0" collapsed="false">
      <c r="A273" s="36"/>
      <c r="B273" s="35"/>
      <c r="C273" s="35"/>
      <c r="D273" s="35"/>
      <c r="E273" s="35"/>
      <c r="F273" s="35"/>
      <c r="G273" s="35"/>
      <c r="H273" s="35"/>
      <c r="I273" s="35"/>
      <c r="J273" s="56"/>
      <c r="K273" s="58"/>
      <c r="L273" s="35"/>
      <c r="M273" s="35"/>
    </row>
    <row r="274" customFormat="false" ht="15" hidden="false" customHeight="true" outlineLevel="0" collapsed="false">
      <c r="A274" s="36"/>
      <c r="B274" s="35"/>
      <c r="C274" s="35"/>
      <c r="D274" s="35"/>
      <c r="E274" s="35"/>
      <c r="F274" s="35"/>
      <c r="G274" s="35"/>
      <c r="H274" s="35"/>
      <c r="I274" s="35"/>
      <c r="J274" s="56"/>
      <c r="K274" s="58"/>
      <c r="L274" s="35"/>
      <c r="M274" s="35"/>
    </row>
    <row r="275" customFormat="false" ht="15" hidden="false" customHeight="true" outlineLevel="0" collapsed="false">
      <c r="A275" s="36"/>
      <c r="B275" s="35"/>
      <c r="C275" s="35"/>
      <c r="D275" s="35"/>
      <c r="E275" s="35"/>
      <c r="F275" s="35"/>
      <c r="G275" s="35"/>
      <c r="H275" s="35"/>
      <c r="I275" s="35"/>
      <c r="J275" s="56"/>
      <c r="K275" s="58"/>
      <c r="L275" s="35"/>
      <c r="M275" s="35"/>
    </row>
    <row r="276" customFormat="false" ht="15" hidden="false" customHeight="true" outlineLevel="0" collapsed="false">
      <c r="A276" s="36"/>
      <c r="B276" s="35"/>
      <c r="C276" s="35"/>
      <c r="D276" s="35"/>
      <c r="E276" s="35"/>
      <c r="F276" s="35"/>
      <c r="G276" s="35"/>
      <c r="H276" s="35"/>
      <c r="I276" s="35"/>
      <c r="J276" s="56"/>
      <c r="K276" s="58"/>
      <c r="L276" s="35"/>
      <c r="M276" s="35"/>
    </row>
    <row r="277" customFormat="false" ht="15" hidden="false" customHeight="true" outlineLevel="0" collapsed="false">
      <c r="A277" s="36"/>
      <c r="B277" s="35"/>
      <c r="C277" s="35"/>
      <c r="D277" s="35"/>
      <c r="E277" s="35"/>
      <c r="F277" s="35"/>
      <c r="G277" s="35"/>
      <c r="H277" s="35"/>
      <c r="I277" s="35"/>
      <c r="J277" s="56"/>
      <c r="K277" s="58"/>
      <c r="L277" s="35"/>
      <c r="M277" s="35"/>
    </row>
    <row r="278" customFormat="false" ht="15" hidden="false" customHeight="true" outlineLevel="0" collapsed="false">
      <c r="A278" s="36"/>
      <c r="B278" s="35"/>
      <c r="C278" s="35"/>
      <c r="D278" s="35"/>
      <c r="E278" s="35"/>
      <c r="F278" s="35"/>
      <c r="G278" s="35"/>
      <c r="H278" s="35"/>
      <c r="I278" s="35"/>
      <c r="J278" s="56"/>
      <c r="K278" s="58"/>
      <c r="L278" s="35"/>
      <c r="M278" s="35"/>
    </row>
    <row r="279" customFormat="false" ht="15" hidden="false" customHeight="true" outlineLevel="0" collapsed="false">
      <c r="A279" s="36"/>
      <c r="B279" s="35"/>
      <c r="C279" s="35"/>
      <c r="D279" s="35"/>
      <c r="E279" s="35"/>
      <c r="F279" s="35"/>
      <c r="G279" s="35"/>
      <c r="H279" s="35"/>
      <c r="I279" s="35"/>
      <c r="J279" s="56"/>
      <c r="K279" s="58"/>
      <c r="L279" s="35"/>
      <c r="M279" s="35"/>
    </row>
    <row r="280" customFormat="false" ht="15" hidden="false" customHeight="true" outlineLevel="0" collapsed="false">
      <c r="A280" s="36"/>
      <c r="B280" s="35"/>
      <c r="C280" s="35"/>
      <c r="D280" s="35"/>
      <c r="E280" s="35"/>
      <c r="F280" s="35"/>
      <c r="G280" s="35"/>
      <c r="H280" s="35"/>
      <c r="I280" s="35"/>
      <c r="J280" s="56"/>
      <c r="K280" s="58"/>
      <c r="L280" s="35"/>
      <c r="M280" s="35"/>
    </row>
    <row r="281" customFormat="false" ht="15" hidden="false" customHeight="true" outlineLevel="0" collapsed="false">
      <c r="A281" s="36"/>
      <c r="B281" s="35"/>
      <c r="C281" s="35"/>
      <c r="D281" s="35"/>
      <c r="E281" s="35"/>
      <c r="F281" s="35"/>
      <c r="G281" s="35"/>
      <c r="H281" s="35"/>
      <c r="I281" s="35"/>
      <c r="J281" s="56"/>
      <c r="K281" s="58"/>
      <c r="L281" s="35"/>
      <c r="M281" s="35"/>
    </row>
    <row r="282" customFormat="false" ht="15" hidden="false" customHeight="true" outlineLevel="0" collapsed="false">
      <c r="A282" s="36"/>
      <c r="B282" s="35"/>
      <c r="C282" s="35"/>
      <c r="D282" s="35"/>
      <c r="E282" s="35"/>
      <c r="F282" s="35"/>
      <c r="G282" s="35"/>
      <c r="H282" s="35"/>
      <c r="I282" s="35"/>
      <c r="J282" s="56"/>
      <c r="K282" s="58"/>
      <c r="L282" s="35"/>
      <c r="M282" s="35"/>
    </row>
    <row r="283" customFormat="false" ht="15" hidden="false" customHeight="true" outlineLevel="0" collapsed="false">
      <c r="A283" s="36"/>
      <c r="B283" s="35"/>
      <c r="C283" s="35"/>
      <c r="D283" s="35"/>
      <c r="E283" s="35"/>
      <c r="F283" s="35"/>
      <c r="G283" s="35"/>
      <c r="H283" s="35"/>
      <c r="I283" s="35"/>
      <c r="J283" s="56"/>
      <c r="K283" s="58"/>
      <c r="L283" s="35"/>
      <c r="M283" s="35"/>
    </row>
    <row r="284" customFormat="false" ht="15" hidden="false" customHeight="true" outlineLevel="0" collapsed="false">
      <c r="A284" s="36"/>
      <c r="B284" s="35"/>
      <c r="C284" s="35"/>
      <c r="D284" s="35"/>
      <c r="E284" s="35"/>
      <c r="F284" s="35"/>
      <c r="G284" s="35"/>
      <c r="H284" s="35"/>
      <c r="I284" s="35"/>
      <c r="J284" s="56"/>
      <c r="K284" s="58"/>
      <c r="L284" s="35"/>
      <c r="M284" s="35"/>
    </row>
    <row r="285" customFormat="false" ht="15" hidden="false" customHeight="true" outlineLevel="0" collapsed="false">
      <c r="A285" s="36"/>
      <c r="B285" s="35"/>
      <c r="C285" s="35"/>
      <c r="D285" s="35"/>
      <c r="E285" s="35"/>
      <c r="F285" s="35"/>
      <c r="G285" s="35"/>
      <c r="H285" s="35"/>
      <c r="I285" s="35"/>
      <c r="J285" s="56"/>
      <c r="K285" s="58"/>
      <c r="L285" s="35"/>
      <c r="M285" s="35"/>
    </row>
    <row r="286" customFormat="false" ht="15" hidden="false" customHeight="true" outlineLevel="0" collapsed="false">
      <c r="A286" s="36"/>
      <c r="B286" s="35"/>
      <c r="C286" s="35"/>
      <c r="D286" s="35"/>
      <c r="E286" s="35"/>
      <c r="F286" s="35"/>
      <c r="G286" s="35"/>
      <c r="H286" s="35"/>
      <c r="I286" s="35"/>
      <c r="J286" s="56"/>
      <c r="K286" s="58"/>
      <c r="L286" s="35"/>
      <c r="M286" s="35"/>
    </row>
    <row r="287" customFormat="false" ht="15" hidden="false" customHeight="true" outlineLevel="0" collapsed="false">
      <c r="A287" s="36"/>
      <c r="B287" s="35"/>
      <c r="C287" s="35"/>
      <c r="D287" s="35"/>
      <c r="E287" s="35"/>
      <c r="F287" s="35"/>
      <c r="G287" s="35"/>
      <c r="H287" s="35"/>
      <c r="I287" s="35"/>
      <c r="J287" s="56"/>
      <c r="K287" s="58"/>
      <c r="L287" s="35"/>
      <c r="M287" s="35"/>
    </row>
    <row r="288" customFormat="false" ht="15" hidden="false" customHeight="true" outlineLevel="0" collapsed="false">
      <c r="A288" s="36"/>
      <c r="B288" s="35"/>
      <c r="C288" s="35"/>
      <c r="D288" s="35"/>
      <c r="E288" s="35"/>
      <c r="F288" s="35"/>
      <c r="G288" s="35"/>
      <c r="H288" s="35"/>
      <c r="I288" s="35"/>
      <c r="J288" s="56"/>
      <c r="K288" s="58"/>
      <c r="L288" s="35"/>
      <c r="M288" s="35"/>
    </row>
    <row r="289" customFormat="false" ht="15" hidden="false" customHeight="true" outlineLevel="0" collapsed="false">
      <c r="A289" s="36"/>
      <c r="B289" s="35"/>
      <c r="C289" s="35"/>
      <c r="D289" s="35"/>
      <c r="E289" s="35"/>
      <c r="F289" s="35"/>
      <c r="G289" s="35"/>
      <c r="H289" s="35"/>
      <c r="I289" s="35"/>
      <c r="J289" s="56"/>
      <c r="K289" s="58"/>
      <c r="L289" s="35"/>
      <c r="M289" s="35"/>
    </row>
    <row r="290" customFormat="false" ht="15" hidden="false" customHeight="true" outlineLevel="0" collapsed="false">
      <c r="A290" s="36"/>
      <c r="B290" s="35"/>
      <c r="C290" s="35"/>
      <c r="D290" s="35"/>
      <c r="E290" s="35"/>
      <c r="F290" s="35"/>
      <c r="G290" s="35"/>
      <c r="H290" s="35"/>
      <c r="I290" s="35"/>
      <c r="J290" s="56"/>
      <c r="K290" s="58"/>
      <c r="L290" s="35"/>
      <c r="M290" s="35"/>
    </row>
    <row r="291" customFormat="false" ht="15" hidden="false" customHeight="true" outlineLevel="0" collapsed="false">
      <c r="A291" s="36"/>
      <c r="B291" s="35"/>
      <c r="C291" s="35"/>
      <c r="D291" s="35"/>
      <c r="E291" s="35"/>
      <c r="F291" s="35"/>
      <c r="G291" s="35"/>
      <c r="H291" s="35"/>
      <c r="I291" s="35"/>
      <c r="J291" s="56"/>
      <c r="K291" s="58"/>
      <c r="L291" s="35"/>
      <c r="M291" s="35"/>
    </row>
    <row r="292" customFormat="false" ht="15" hidden="false" customHeight="true" outlineLevel="0" collapsed="false">
      <c r="A292" s="36"/>
      <c r="B292" s="35"/>
      <c r="C292" s="35"/>
      <c r="D292" s="35"/>
      <c r="E292" s="35"/>
      <c r="F292" s="35"/>
      <c r="G292" s="35"/>
      <c r="H292" s="35"/>
      <c r="I292" s="35"/>
      <c r="J292" s="56"/>
      <c r="K292" s="58"/>
      <c r="L292" s="35"/>
      <c r="M292" s="35"/>
    </row>
    <row r="293" customFormat="false" ht="15" hidden="false" customHeight="true" outlineLevel="0" collapsed="false">
      <c r="A293" s="36"/>
      <c r="B293" s="35"/>
      <c r="C293" s="35"/>
      <c r="D293" s="35"/>
      <c r="E293" s="35"/>
      <c r="F293" s="35"/>
      <c r="G293" s="35"/>
      <c r="H293" s="35"/>
      <c r="I293" s="35"/>
      <c r="J293" s="56"/>
      <c r="K293" s="58"/>
      <c r="L293" s="35"/>
      <c r="M293" s="35"/>
    </row>
    <row r="294" customFormat="false" ht="15" hidden="false" customHeight="true" outlineLevel="0" collapsed="false">
      <c r="A294" s="36"/>
      <c r="B294" s="35"/>
      <c r="C294" s="35"/>
      <c r="D294" s="35"/>
      <c r="E294" s="35"/>
      <c r="F294" s="35"/>
      <c r="G294" s="35"/>
      <c r="H294" s="35"/>
      <c r="I294" s="35"/>
      <c r="J294" s="56"/>
      <c r="K294" s="58"/>
      <c r="L294" s="35"/>
      <c r="M294" s="35"/>
    </row>
    <row r="295" customFormat="false" ht="15" hidden="false" customHeight="true" outlineLevel="0" collapsed="false">
      <c r="A295" s="36"/>
      <c r="B295" s="35"/>
      <c r="C295" s="35"/>
      <c r="D295" s="35"/>
      <c r="E295" s="35"/>
      <c r="F295" s="35"/>
      <c r="G295" s="35"/>
      <c r="H295" s="35"/>
      <c r="I295" s="35"/>
      <c r="J295" s="56"/>
      <c r="K295" s="58"/>
      <c r="L295" s="35"/>
      <c r="M295" s="35"/>
    </row>
    <row r="296" customFormat="false" ht="15" hidden="false" customHeight="true" outlineLevel="0" collapsed="false">
      <c r="A296" s="36"/>
      <c r="B296" s="35"/>
      <c r="C296" s="35"/>
      <c r="D296" s="35"/>
      <c r="E296" s="35"/>
      <c r="F296" s="35"/>
      <c r="G296" s="35"/>
      <c r="H296" s="35"/>
      <c r="I296" s="35"/>
      <c r="J296" s="56"/>
      <c r="K296" s="58"/>
      <c r="L296" s="35"/>
      <c r="M296" s="35"/>
    </row>
    <row r="297" customFormat="false" ht="15" hidden="false" customHeight="true" outlineLevel="0" collapsed="false">
      <c r="A297" s="36"/>
      <c r="B297" s="35"/>
      <c r="C297" s="35"/>
      <c r="D297" s="35"/>
      <c r="E297" s="35"/>
      <c r="F297" s="35"/>
      <c r="G297" s="35"/>
      <c r="H297" s="35"/>
      <c r="I297" s="35"/>
      <c r="J297" s="56"/>
      <c r="K297" s="58"/>
      <c r="L297" s="35"/>
      <c r="M297" s="35"/>
    </row>
    <row r="298" customFormat="false" ht="15" hidden="false" customHeight="true" outlineLevel="0" collapsed="false">
      <c r="A298" s="36"/>
      <c r="B298" s="35"/>
      <c r="C298" s="35"/>
      <c r="D298" s="35"/>
      <c r="E298" s="35"/>
      <c r="F298" s="35"/>
      <c r="G298" s="35"/>
      <c r="H298" s="35"/>
      <c r="I298" s="35"/>
      <c r="J298" s="56"/>
      <c r="K298" s="58"/>
      <c r="L298" s="35"/>
      <c r="M298" s="35"/>
    </row>
    <row r="299" customFormat="false" ht="15" hidden="false" customHeight="true" outlineLevel="0" collapsed="false">
      <c r="A299" s="36"/>
      <c r="B299" s="35"/>
      <c r="C299" s="35"/>
      <c r="D299" s="35"/>
      <c r="E299" s="35"/>
      <c r="F299" s="35"/>
      <c r="G299" s="35"/>
      <c r="H299" s="35"/>
      <c r="I299" s="35"/>
      <c r="J299" s="56"/>
      <c r="K299" s="58"/>
      <c r="L299" s="35"/>
      <c r="M299" s="35"/>
    </row>
    <row r="300" customFormat="false" ht="15" hidden="false" customHeight="true" outlineLevel="0" collapsed="false">
      <c r="A300" s="36"/>
      <c r="B300" s="35"/>
      <c r="C300" s="35"/>
      <c r="D300" s="35"/>
      <c r="E300" s="35"/>
      <c r="F300" s="35"/>
      <c r="G300" s="35"/>
      <c r="H300" s="35"/>
      <c r="I300" s="35"/>
      <c r="J300" s="56"/>
      <c r="K300" s="58"/>
      <c r="L300" s="35"/>
      <c r="M300" s="35"/>
    </row>
  </sheetData>
  <autoFilter ref="A2:M300"/>
  <mergeCells count="1">
    <mergeCell ref="A1:M1"/>
  </mergeCells>
  <conditionalFormatting sqref="L3:L300">
    <cfRule type="expression" priority="2" aboveAverage="0" equalAverage="0" bottom="0" percent="0" rank="0" text="" dxfId="10">
      <formula>$L3="Completed"</formula>
    </cfRule>
    <cfRule type="expression" priority="3" aboveAverage="0" equalAverage="0" bottom="0" percent="0" rank="0" text="" dxfId="11">
      <formula>$L3="In Progress"</formula>
    </cfRule>
  </conditionalFormatting>
  <dataValidations count="3">
    <dataValidation allowBlank="true" errorStyle="stop" operator="between" showDropDown="false" showErrorMessage="false" showInputMessage="false" sqref="C3:C300" type="list">
      <formula1>"Driver,Machine Cutter,Chamfer,Helper,Installer,Mason / Fixer,Polisher,Other"</formula1>
      <formula2>0</formula2>
    </dataValidation>
    <dataValidation allowBlank="true" errorStyle="stop" operator="between" showDropDown="false" showErrorMessage="false" showInputMessage="false" sqref="D3:D300" type="list">
      <formula1>"Cutting,Chamfering,Delivery,Factory Help,Installation,Loading / Unloading,Polishing,Measurement,Maintenance,Other"</formula1>
      <formula2>0</formula2>
    </dataValidation>
    <dataValidation allowBlank="true" errorStyle="stop" operator="between" showDropDown="false" showErrorMessage="false" showInputMessage="false" sqref="L3:L300" type="list">
      <formula1>"In Progress,Completed"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I4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6" min="5" style="1" width="10"/>
    <col collapsed="false" customWidth="true" hidden="false" outlineLevel="0" max="7" min="7" style="1" width="9"/>
    <col collapsed="false" customWidth="true" hidden="false" outlineLevel="0" max="8" min="8" style="1" width="14"/>
    <col collapsed="false" customWidth="true" hidden="false" outlineLevel="0" max="9" min="9" style="1" width="34"/>
  </cols>
  <sheetData>
    <row r="1" customFormat="false" ht="30" hidden="false" customHeight="true" outlineLevel="0" collapsed="false">
      <c r="A1" s="2" t="s">
        <v>767</v>
      </c>
      <c r="B1" s="2"/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A2" s="16" t="s">
        <v>24</v>
      </c>
      <c r="B2" s="16" t="s">
        <v>742</v>
      </c>
      <c r="C2" s="16" t="s">
        <v>743</v>
      </c>
      <c r="D2" s="16" t="s">
        <v>768</v>
      </c>
      <c r="E2" s="16" t="s">
        <v>769</v>
      </c>
      <c r="F2" s="16" t="s">
        <v>770</v>
      </c>
      <c r="G2" s="16" t="s">
        <v>748</v>
      </c>
      <c r="H2" s="16" t="s">
        <v>726</v>
      </c>
      <c r="I2" s="16" t="s">
        <v>43</v>
      </c>
    </row>
    <row r="3" customFormat="false" ht="15" hidden="false" customHeight="true" outlineLevel="0" collapsed="false">
      <c r="A3" s="27" t="n">
        <v>45967</v>
      </c>
      <c r="B3" s="28" t="s">
        <v>727</v>
      </c>
      <c r="C3" s="28" t="s">
        <v>749</v>
      </c>
      <c r="D3" s="28" t="s">
        <v>771</v>
      </c>
      <c r="E3" s="59" t="n">
        <v>0.291666666666667</v>
      </c>
      <c r="F3" s="59" t="n">
        <v>0.6875</v>
      </c>
      <c r="G3" s="60" t="n">
        <f aca="false">IF(OR(E3="",F3=""),"",(F3-E3)*24)</f>
        <v>9.5</v>
      </c>
      <c r="H3" s="26" t="s">
        <v>772</v>
      </c>
      <c r="I3" s="29" t="s">
        <v>773</v>
      </c>
    </row>
    <row r="4" customFormat="false" ht="15" hidden="false" customHeight="true" outlineLevel="0" collapsed="false">
      <c r="A4" s="27" t="n">
        <v>45967</v>
      </c>
      <c r="B4" s="28" t="s">
        <v>730</v>
      </c>
      <c r="C4" s="28" t="s">
        <v>753</v>
      </c>
      <c r="D4" s="28" t="s">
        <v>771</v>
      </c>
      <c r="E4" s="59" t="n">
        <v>0.302083333333333</v>
      </c>
      <c r="F4" s="59" t="n">
        <v>0.6875</v>
      </c>
      <c r="G4" s="60" t="n">
        <f aca="false">IF(OR(E4="",F4=""),"",(F4-E4)*24)</f>
        <v>9.25</v>
      </c>
      <c r="H4" s="26" t="s">
        <v>774</v>
      </c>
      <c r="I4" s="29" t="s">
        <v>775</v>
      </c>
    </row>
    <row r="5" customFormat="false" ht="15" hidden="false" customHeight="true" outlineLevel="0" collapsed="false">
      <c r="A5" s="27" t="n">
        <v>45967</v>
      </c>
      <c r="B5" s="28" t="s">
        <v>756</v>
      </c>
      <c r="C5" s="28" t="s">
        <v>757</v>
      </c>
      <c r="D5" s="28" t="s">
        <v>771</v>
      </c>
      <c r="E5" s="59" t="n">
        <v>0.291666666666667</v>
      </c>
      <c r="F5" s="59" t="n">
        <v>0.666666666666667</v>
      </c>
      <c r="G5" s="60" t="n">
        <f aca="false">IF(OR(E5="",F5=""),"",(F5-E5)*24)</f>
        <v>9</v>
      </c>
      <c r="H5" s="26" t="s">
        <v>772</v>
      </c>
      <c r="I5" s="29" t="s">
        <v>773</v>
      </c>
    </row>
    <row r="6" customFormat="false" ht="15" hidden="false" customHeight="true" outlineLevel="0" collapsed="false">
      <c r="A6" s="27" t="n">
        <v>45967</v>
      </c>
      <c r="B6" s="28" t="s">
        <v>760</v>
      </c>
      <c r="C6" s="28" t="s">
        <v>761</v>
      </c>
      <c r="D6" s="28" t="s">
        <v>776</v>
      </c>
      <c r="E6" s="59" t="n">
        <v>0.28125</v>
      </c>
      <c r="F6" s="59" t="n">
        <v>0.708333333333333</v>
      </c>
      <c r="G6" s="60" t="n">
        <f aca="false">IF(OR(E6="",F6=""),"",(F6-E6)*24)</f>
        <v>10.25</v>
      </c>
      <c r="H6" s="26" t="s">
        <v>772</v>
      </c>
      <c r="I6" s="29" t="s">
        <v>777</v>
      </c>
    </row>
    <row r="7" customFormat="false" ht="15" hidden="false" customHeight="true" outlineLevel="0" collapsed="false">
      <c r="A7" s="27" t="n">
        <v>45967</v>
      </c>
      <c r="B7" s="28" t="s">
        <v>778</v>
      </c>
      <c r="C7" s="28" t="s">
        <v>779</v>
      </c>
      <c r="D7" s="28" t="s">
        <v>776</v>
      </c>
      <c r="E7" s="59" t="n">
        <v>0.3125</v>
      </c>
      <c r="F7" s="59" t="n">
        <v>0.6875</v>
      </c>
      <c r="G7" s="60" t="n">
        <f aca="false">IF(OR(E7="",F7=""),"",(F7-E7)*24)</f>
        <v>9</v>
      </c>
      <c r="H7" s="26" t="s">
        <v>772</v>
      </c>
      <c r="I7" s="29" t="s">
        <v>780</v>
      </c>
    </row>
    <row r="8" customFormat="false" ht="15" hidden="false" customHeight="true" outlineLevel="0" collapsed="false">
      <c r="A8" s="36"/>
      <c r="B8" s="35"/>
      <c r="C8" s="35"/>
      <c r="D8" s="35"/>
      <c r="E8" s="61"/>
      <c r="F8" s="61"/>
      <c r="G8" s="58" t="str">
        <f aca="false">IF(OR(E8="",F8=""),"",(F8-E8)*24)</f>
        <v/>
      </c>
      <c r="H8" s="35"/>
      <c r="I8" s="35"/>
    </row>
    <row r="9" customFormat="false" ht="15" hidden="false" customHeight="true" outlineLevel="0" collapsed="false">
      <c r="A9" s="36"/>
      <c r="B9" s="35"/>
      <c r="C9" s="35"/>
      <c r="D9" s="35"/>
      <c r="E9" s="61"/>
      <c r="F9" s="61"/>
      <c r="G9" s="58" t="str">
        <f aca="false">IF(OR(E9="",F9=""),"",(F9-E9)*24)</f>
        <v/>
      </c>
      <c r="H9" s="35"/>
      <c r="I9" s="35"/>
    </row>
    <row r="10" customFormat="false" ht="15" hidden="false" customHeight="true" outlineLevel="0" collapsed="false">
      <c r="A10" s="36"/>
      <c r="B10" s="35"/>
      <c r="C10" s="35"/>
      <c r="D10" s="35"/>
      <c r="E10" s="61"/>
      <c r="F10" s="61"/>
      <c r="G10" s="58" t="str">
        <f aca="false">IF(OR(E10="",F10=""),"",(F10-E10)*24)</f>
        <v/>
      </c>
      <c r="H10" s="35"/>
      <c r="I10" s="35"/>
    </row>
    <row r="11" customFormat="false" ht="15" hidden="false" customHeight="true" outlineLevel="0" collapsed="false">
      <c r="A11" s="36"/>
      <c r="B11" s="35"/>
      <c r="C11" s="35"/>
      <c r="D11" s="35"/>
      <c r="E11" s="61"/>
      <c r="F11" s="61"/>
      <c r="G11" s="58" t="str">
        <f aca="false">IF(OR(E11="",F11=""),"",(F11-E11)*24)</f>
        <v/>
      </c>
      <c r="H11" s="35"/>
      <c r="I11" s="35"/>
    </row>
    <row r="12" customFormat="false" ht="15" hidden="false" customHeight="true" outlineLevel="0" collapsed="false">
      <c r="A12" s="36"/>
      <c r="B12" s="35"/>
      <c r="C12" s="35"/>
      <c r="D12" s="35"/>
      <c r="E12" s="61"/>
      <c r="F12" s="61"/>
      <c r="G12" s="58" t="str">
        <f aca="false">IF(OR(E12="",F12=""),"",(F12-E12)*24)</f>
        <v/>
      </c>
      <c r="H12" s="35"/>
      <c r="I12" s="35"/>
    </row>
    <row r="13" customFormat="false" ht="15" hidden="false" customHeight="true" outlineLevel="0" collapsed="false">
      <c r="A13" s="36"/>
      <c r="B13" s="35"/>
      <c r="C13" s="35"/>
      <c r="D13" s="35"/>
      <c r="E13" s="61"/>
      <c r="F13" s="61"/>
      <c r="G13" s="58" t="str">
        <f aca="false">IF(OR(E13="",F13=""),"",(F13-E13)*24)</f>
        <v/>
      </c>
      <c r="H13" s="35"/>
      <c r="I13" s="35"/>
    </row>
    <row r="14" customFormat="false" ht="15" hidden="false" customHeight="true" outlineLevel="0" collapsed="false">
      <c r="A14" s="36"/>
      <c r="B14" s="35"/>
      <c r="C14" s="35"/>
      <c r="D14" s="35"/>
      <c r="E14" s="61"/>
      <c r="F14" s="61"/>
      <c r="G14" s="58" t="str">
        <f aca="false">IF(OR(E14="",F14=""),"",(F14-E14)*24)</f>
        <v/>
      </c>
      <c r="H14" s="35"/>
      <c r="I14" s="35"/>
    </row>
    <row r="15" customFormat="false" ht="15" hidden="false" customHeight="true" outlineLevel="0" collapsed="false">
      <c r="A15" s="36"/>
      <c r="B15" s="35"/>
      <c r="C15" s="35"/>
      <c r="D15" s="35"/>
      <c r="E15" s="61"/>
      <c r="F15" s="61"/>
      <c r="G15" s="58" t="str">
        <f aca="false">IF(OR(E15="",F15=""),"",(F15-E15)*24)</f>
        <v/>
      </c>
      <c r="H15" s="35"/>
      <c r="I15" s="35"/>
    </row>
    <row r="16" customFormat="false" ht="15" hidden="false" customHeight="true" outlineLevel="0" collapsed="false">
      <c r="A16" s="36"/>
      <c r="B16" s="35"/>
      <c r="C16" s="35"/>
      <c r="D16" s="35"/>
      <c r="E16" s="61"/>
      <c r="F16" s="61"/>
      <c r="G16" s="58" t="str">
        <f aca="false">IF(OR(E16="",F16=""),"",(F16-E16)*24)</f>
        <v/>
      </c>
      <c r="H16" s="35"/>
      <c r="I16" s="35"/>
    </row>
    <row r="17" customFormat="false" ht="15" hidden="false" customHeight="true" outlineLevel="0" collapsed="false">
      <c r="A17" s="36"/>
      <c r="B17" s="35"/>
      <c r="C17" s="35"/>
      <c r="D17" s="35"/>
      <c r="E17" s="61"/>
      <c r="F17" s="61"/>
      <c r="G17" s="58" t="str">
        <f aca="false">IF(OR(E17="",F17=""),"",(F17-E17)*24)</f>
        <v/>
      </c>
      <c r="H17" s="35"/>
      <c r="I17" s="35"/>
    </row>
    <row r="18" customFormat="false" ht="15" hidden="false" customHeight="true" outlineLevel="0" collapsed="false">
      <c r="A18" s="36"/>
      <c r="B18" s="35"/>
      <c r="C18" s="35"/>
      <c r="D18" s="35"/>
      <c r="E18" s="61"/>
      <c r="F18" s="61"/>
      <c r="G18" s="58" t="str">
        <f aca="false">IF(OR(E18="",F18=""),"",(F18-E18)*24)</f>
        <v/>
      </c>
      <c r="H18" s="35"/>
      <c r="I18" s="35"/>
    </row>
    <row r="19" customFormat="false" ht="15" hidden="false" customHeight="true" outlineLevel="0" collapsed="false">
      <c r="A19" s="36"/>
      <c r="B19" s="35"/>
      <c r="C19" s="35"/>
      <c r="D19" s="35"/>
      <c r="E19" s="61"/>
      <c r="F19" s="61"/>
      <c r="G19" s="58" t="str">
        <f aca="false">IF(OR(E19="",F19=""),"",(F19-E19)*24)</f>
        <v/>
      </c>
      <c r="H19" s="35"/>
      <c r="I19" s="35"/>
    </row>
    <row r="20" customFormat="false" ht="15" hidden="false" customHeight="true" outlineLevel="0" collapsed="false">
      <c r="A20" s="36"/>
      <c r="B20" s="35"/>
      <c r="C20" s="35"/>
      <c r="D20" s="35"/>
      <c r="E20" s="61"/>
      <c r="F20" s="61"/>
      <c r="G20" s="58" t="str">
        <f aca="false">IF(OR(E20="",F20=""),"",(F20-E20)*24)</f>
        <v/>
      </c>
      <c r="H20" s="35"/>
      <c r="I20" s="35"/>
    </row>
    <row r="21" customFormat="false" ht="15" hidden="false" customHeight="true" outlineLevel="0" collapsed="false">
      <c r="A21" s="36"/>
      <c r="B21" s="35"/>
      <c r="C21" s="35"/>
      <c r="D21" s="35"/>
      <c r="E21" s="61"/>
      <c r="F21" s="61"/>
      <c r="G21" s="58" t="str">
        <f aca="false">IF(OR(E21="",F21=""),"",(F21-E21)*24)</f>
        <v/>
      </c>
      <c r="H21" s="35"/>
      <c r="I21" s="35"/>
    </row>
    <row r="22" customFormat="false" ht="15" hidden="false" customHeight="true" outlineLevel="0" collapsed="false">
      <c r="A22" s="36"/>
      <c r="B22" s="35"/>
      <c r="C22" s="35"/>
      <c r="D22" s="35"/>
      <c r="E22" s="61"/>
      <c r="F22" s="61"/>
      <c r="G22" s="58" t="str">
        <f aca="false">IF(OR(E22="",F22=""),"",(F22-E22)*24)</f>
        <v/>
      </c>
      <c r="H22" s="35"/>
      <c r="I22" s="35"/>
    </row>
    <row r="23" customFormat="false" ht="15" hidden="false" customHeight="true" outlineLevel="0" collapsed="false">
      <c r="A23" s="36"/>
      <c r="B23" s="35"/>
      <c r="C23" s="35"/>
      <c r="D23" s="35"/>
      <c r="E23" s="61"/>
      <c r="F23" s="61"/>
      <c r="G23" s="58" t="str">
        <f aca="false">IF(OR(E23="",F23=""),"",(F23-E23)*24)</f>
        <v/>
      </c>
      <c r="H23" s="35"/>
      <c r="I23" s="35"/>
    </row>
    <row r="24" customFormat="false" ht="15" hidden="false" customHeight="true" outlineLevel="0" collapsed="false">
      <c r="A24" s="36"/>
      <c r="B24" s="35"/>
      <c r="C24" s="35"/>
      <c r="D24" s="35"/>
      <c r="E24" s="61"/>
      <c r="F24" s="61"/>
      <c r="G24" s="58" t="str">
        <f aca="false">IF(OR(E24="",F24=""),"",(F24-E24)*24)</f>
        <v/>
      </c>
      <c r="H24" s="35"/>
      <c r="I24" s="35"/>
    </row>
    <row r="25" customFormat="false" ht="15" hidden="false" customHeight="true" outlineLevel="0" collapsed="false">
      <c r="A25" s="36"/>
      <c r="B25" s="35"/>
      <c r="C25" s="35"/>
      <c r="D25" s="35"/>
      <c r="E25" s="61"/>
      <c r="F25" s="61"/>
      <c r="G25" s="58" t="str">
        <f aca="false">IF(OR(E25="",F25=""),"",(F25-E25)*24)</f>
        <v/>
      </c>
      <c r="H25" s="35"/>
      <c r="I25" s="35"/>
    </row>
    <row r="26" customFormat="false" ht="15" hidden="false" customHeight="true" outlineLevel="0" collapsed="false">
      <c r="A26" s="36"/>
      <c r="B26" s="35"/>
      <c r="C26" s="35"/>
      <c r="D26" s="35"/>
      <c r="E26" s="61"/>
      <c r="F26" s="61"/>
      <c r="G26" s="58" t="str">
        <f aca="false">IF(OR(E26="",F26=""),"",(F26-E26)*24)</f>
        <v/>
      </c>
      <c r="H26" s="35"/>
      <c r="I26" s="35"/>
    </row>
    <row r="27" customFormat="false" ht="15" hidden="false" customHeight="true" outlineLevel="0" collapsed="false">
      <c r="A27" s="36"/>
      <c r="B27" s="35"/>
      <c r="C27" s="35"/>
      <c r="D27" s="35"/>
      <c r="E27" s="61"/>
      <c r="F27" s="61"/>
      <c r="G27" s="58" t="str">
        <f aca="false">IF(OR(E27="",F27=""),"",(F27-E27)*24)</f>
        <v/>
      </c>
      <c r="H27" s="35"/>
      <c r="I27" s="35"/>
    </row>
    <row r="28" customFormat="false" ht="15" hidden="false" customHeight="true" outlineLevel="0" collapsed="false">
      <c r="A28" s="36"/>
      <c r="B28" s="35"/>
      <c r="C28" s="35"/>
      <c r="D28" s="35"/>
      <c r="E28" s="61"/>
      <c r="F28" s="61"/>
      <c r="G28" s="58" t="str">
        <f aca="false">IF(OR(E28="",F28=""),"",(F28-E28)*24)</f>
        <v/>
      </c>
      <c r="H28" s="35"/>
      <c r="I28" s="35"/>
    </row>
    <row r="29" customFormat="false" ht="15" hidden="false" customHeight="true" outlineLevel="0" collapsed="false">
      <c r="A29" s="36"/>
      <c r="B29" s="35"/>
      <c r="C29" s="35"/>
      <c r="D29" s="35"/>
      <c r="E29" s="61"/>
      <c r="F29" s="61"/>
      <c r="G29" s="58" t="str">
        <f aca="false">IF(OR(E29="",F29=""),"",(F29-E29)*24)</f>
        <v/>
      </c>
      <c r="H29" s="35"/>
      <c r="I29" s="35"/>
    </row>
    <row r="30" customFormat="false" ht="15" hidden="false" customHeight="true" outlineLevel="0" collapsed="false">
      <c r="A30" s="36"/>
      <c r="B30" s="35"/>
      <c r="C30" s="35"/>
      <c r="D30" s="35"/>
      <c r="E30" s="61"/>
      <c r="F30" s="61"/>
      <c r="G30" s="58" t="str">
        <f aca="false">IF(OR(E30="",F30=""),"",(F30-E30)*24)</f>
        <v/>
      </c>
      <c r="H30" s="35"/>
      <c r="I30" s="35"/>
    </row>
    <row r="31" customFormat="false" ht="15" hidden="false" customHeight="true" outlineLevel="0" collapsed="false">
      <c r="A31" s="36"/>
      <c r="B31" s="35"/>
      <c r="C31" s="35"/>
      <c r="D31" s="35"/>
      <c r="E31" s="61"/>
      <c r="F31" s="61"/>
      <c r="G31" s="58" t="str">
        <f aca="false">IF(OR(E31="",F31=""),"",(F31-E31)*24)</f>
        <v/>
      </c>
      <c r="H31" s="35"/>
      <c r="I31" s="35"/>
    </row>
    <row r="32" customFormat="false" ht="15" hidden="false" customHeight="true" outlineLevel="0" collapsed="false">
      <c r="A32" s="36"/>
      <c r="B32" s="35"/>
      <c r="C32" s="35"/>
      <c r="D32" s="35"/>
      <c r="E32" s="61"/>
      <c r="F32" s="61"/>
      <c r="G32" s="58" t="str">
        <f aca="false">IF(OR(E32="",F32=""),"",(F32-E32)*24)</f>
        <v/>
      </c>
      <c r="H32" s="35"/>
      <c r="I32" s="35"/>
    </row>
    <row r="33" customFormat="false" ht="15" hidden="false" customHeight="true" outlineLevel="0" collapsed="false">
      <c r="A33" s="36"/>
      <c r="B33" s="35"/>
      <c r="C33" s="35"/>
      <c r="D33" s="35"/>
      <c r="E33" s="61"/>
      <c r="F33" s="61"/>
      <c r="G33" s="58" t="str">
        <f aca="false">IF(OR(E33="",F33=""),"",(F33-E33)*24)</f>
        <v/>
      </c>
      <c r="H33" s="35"/>
      <c r="I33" s="35"/>
    </row>
    <row r="34" customFormat="false" ht="15" hidden="false" customHeight="true" outlineLevel="0" collapsed="false">
      <c r="A34" s="36"/>
      <c r="B34" s="35"/>
      <c r="C34" s="35"/>
      <c r="D34" s="35"/>
      <c r="E34" s="61"/>
      <c r="F34" s="61"/>
      <c r="G34" s="58" t="str">
        <f aca="false">IF(OR(E34="",F34=""),"",(F34-E34)*24)</f>
        <v/>
      </c>
      <c r="H34" s="35"/>
      <c r="I34" s="35"/>
    </row>
    <row r="35" customFormat="false" ht="15" hidden="false" customHeight="true" outlineLevel="0" collapsed="false">
      <c r="A35" s="36"/>
      <c r="B35" s="35"/>
      <c r="C35" s="35"/>
      <c r="D35" s="35"/>
      <c r="E35" s="61"/>
      <c r="F35" s="61"/>
      <c r="G35" s="58" t="str">
        <f aca="false">IF(OR(E35="",F35=""),"",(F35-E35)*24)</f>
        <v/>
      </c>
      <c r="H35" s="35"/>
      <c r="I35" s="35"/>
    </row>
    <row r="36" customFormat="false" ht="15" hidden="false" customHeight="true" outlineLevel="0" collapsed="false">
      <c r="A36" s="36"/>
      <c r="B36" s="35"/>
      <c r="C36" s="35"/>
      <c r="D36" s="35"/>
      <c r="E36" s="61"/>
      <c r="F36" s="61"/>
      <c r="G36" s="58" t="str">
        <f aca="false">IF(OR(E36="",F36=""),"",(F36-E36)*24)</f>
        <v/>
      </c>
      <c r="H36" s="35"/>
      <c r="I36" s="35"/>
    </row>
    <row r="37" customFormat="false" ht="15" hidden="false" customHeight="true" outlineLevel="0" collapsed="false">
      <c r="A37" s="36"/>
      <c r="B37" s="35"/>
      <c r="C37" s="35"/>
      <c r="D37" s="35"/>
      <c r="E37" s="61"/>
      <c r="F37" s="61"/>
      <c r="G37" s="58" t="str">
        <f aca="false">IF(OR(E37="",F37=""),"",(F37-E37)*24)</f>
        <v/>
      </c>
      <c r="H37" s="35"/>
      <c r="I37" s="35"/>
    </row>
    <row r="38" customFormat="false" ht="15" hidden="false" customHeight="true" outlineLevel="0" collapsed="false">
      <c r="A38" s="36"/>
      <c r="B38" s="35"/>
      <c r="C38" s="35"/>
      <c r="D38" s="35"/>
      <c r="E38" s="61"/>
      <c r="F38" s="61"/>
      <c r="G38" s="58" t="str">
        <f aca="false">IF(OR(E38="",F38=""),"",(F38-E38)*24)</f>
        <v/>
      </c>
      <c r="H38" s="35"/>
      <c r="I38" s="35"/>
    </row>
    <row r="39" customFormat="false" ht="15" hidden="false" customHeight="true" outlineLevel="0" collapsed="false">
      <c r="A39" s="36"/>
      <c r="B39" s="35"/>
      <c r="C39" s="35"/>
      <c r="D39" s="35"/>
      <c r="E39" s="61"/>
      <c r="F39" s="61"/>
      <c r="G39" s="58" t="str">
        <f aca="false">IF(OR(E39="",F39=""),"",(F39-E39)*24)</f>
        <v/>
      </c>
      <c r="H39" s="35"/>
      <c r="I39" s="35"/>
    </row>
    <row r="40" customFormat="false" ht="15" hidden="false" customHeight="true" outlineLevel="0" collapsed="false">
      <c r="A40" s="36"/>
      <c r="B40" s="35"/>
      <c r="C40" s="35"/>
      <c r="D40" s="35"/>
      <c r="E40" s="61"/>
      <c r="F40" s="61"/>
      <c r="G40" s="58" t="str">
        <f aca="false">IF(OR(E40="",F40=""),"",(F40-E40)*24)</f>
        <v/>
      </c>
      <c r="H40" s="35"/>
      <c r="I40" s="35"/>
    </row>
    <row r="41" customFormat="false" ht="15" hidden="false" customHeight="true" outlineLevel="0" collapsed="false">
      <c r="A41" s="36"/>
      <c r="B41" s="35"/>
      <c r="C41" s="35"/>
      <c r="D41" s="35"/>
      <c r="E41" s="61"/>
      <c r="F41" s="61"/>
      <c r="G41" s="58" t="str">
        <f aca="false">IF(OR(E41="",F41=""),"",(F41-E41)*24)</f>
        <v/>
      </c>
      <c r="H41" s="35"/>
      <c r="I41" s="35"/>
    </row>
    <row r="42" customFormat="false" ht="15" hidden="false" customHeight="true" outlineLevel="0" collapsed="false">
      <c r="A42" s="36"/>
      <c r="B42" s="35"/>
      <c r="C42" s="35"/>
      <c r="D42" s="35"/>
      <c r="E42" s="61"/>
      <c r="F42" s="61"/>
      <c r="G42" s="58" t="str">
        <f aca="false">IF(OR(E42="",F42=""),"",(F42-E42)*24)</f>
        <v/>
      </c>
      <c r="H42" s="35"/>
      <c r="I42" s="35"/>
    </row>
    <row r="43" customFormat="false" ht="15" hidden="false" customHeight="true" outlineLevel="0" collapsed="false">
      <c r="A43" s="36"/>
      <c r="B43" s="35"/>
      <c r="C43" s="35"/>
      <c r="D43" s="35"/>
      <c r="E43" s="61"/>
      <c r="F43" s="61"/>
      <c r="G43" s="58" t="str">
        <f aca="false">IF(OR(E43="",F43=""),"",(F43-E43)*24)</f>
        <v/>
      </c>
      <c r="H43" s="35"/>
      <c r="I43" s="35"/>
    </row>
    <row r="44" customFormat="false" ht="15" hidden="false" customHeight="true" outlineLevel="0" collapsed="false">
      <c r="A44" s="36"/>
      <c r="B44" s="35"/>
      <c r="C44" s="35"/>
      <c r="D44" s="35"/>
      <c r="E44" s="61"/>
      <c r="F44" s="61"/>
      <c r="G44" s="58" t="str">
        <f aca="false">IF(OR(E44="",F44=""),"",(F44-E44)*24)</f>
        <v/>
      </c>
      <c r="H44" s="35"/>
      <c r="I44" s="35"/>
    </row>
    <row r="45" customFormat="false" ht="15" hidden="false" customHeight="true" outlineLevel="0" collapsed="false">
      <c r="A45" s="36"/>
      <c r="B45" s="35"/>
      <c r="C45" s="35"/>
      <c r="D45" s="35"/>
      <c r="E45" s="61"/>
      <c r="F45" s="61"/>
      <c r="G45" s="58" t="str">
        <f aca="false">IF(OR(E45="",F45=""),"",(F45-E45)*24)</f>
        <v/>
      </c>
      <c r="H45" s="35"/>
      <c r="I45" s="35"/>
    </row>
    <row r="46" customFormat="false" ht="15" hidden="false" customHeight="true" outlineLevel="0" collapsed="false">
      <c r="A46" s="36"/>
      <c r="B46" s="35"/>
      <c r="C46" s="35"/>
      <c r="D46" s="35"/>
      <c r="E46" s="61"/>
      <c r="F46" s="61"/>
      <c r="G46" s="58" t="str">
        <f aca="false">IF(OR(E46="",F46=""),"",(F46-E46)*24)</f>
        <v/>
      </c>
      <c r="H46" s="35"/>
      <c r="I46" s="35"/>
    </row>
    <row r="47" customFormat="false" ht="15" hidden="false" customHeight="true" outlineLevel="0" collapsed="false">
      <c r="A47" s="36"/>
      <c r="B47" s="35"/>
      <c r="C47" s="35"/>
      <c r="D47" s="35"/>
      <c r="E47" s="61"/>
      <c r="F47" s="61"/>
      <c r="G47" s="58" t="str">
        <f aca="false">IF(OR(E47="",F47=""),"",(F47-E47)*24)</f>
        <v/>
      </c>
      <c r="H47" s="35"/>
      <c r="I47" s="35"/>
    </row>
    <row r="48" customFormat="false" ht="15" hidden="false" customHeight="true" outlineLevel="0" collapsed="false">
      <c r="A48" s="36"/>
      <c r="B48" s="35"/>
      <c r="C48" s="35"/>
      <c r="D48" s="35"/>
      <c r="E48" s="61"/>
      <c r="F48" s="61"/>
      <c r="G48" s="58" t="str">
        <f aca="false">IF(OR(E48="",F48=""),"",(F48-E48)*24)</f>
        <v/>
      </c>
      <c r="H48" s="35"/>
      <c r="I48" s="35"/>
    </row>
    <row r="49" customFormat="false" ht="15" hidden="false" customHeight="true" outlineLevel="0" collapsed="false">
      <c r="A49" s="36"/>
      <c r="B49" s="35"/>
      <c r="C49" s="35"/>
      <c r="D49" s="35"/>
      <c r="E49" s="61"/>
      <c r="F49" s="61"/>
      <c r="G49" s="58" t="str">
        <f aca="false">IF(OR(E49="",F49=""),"",(F49-E49)*24)</f>
        <v/>
      </c>
      <c r="H49" s="35"/>
      <c r="I49" s="35"/>
    </row>
    <row r="50" customFormat="false" ht="15" hidden="false" customHeight="true" outlineLevel="0" collapsed="false">
      <c r="A50" s="36"/>
      <c r="B50" s="35"/>
      <c r="C50" s="35"/>
      <c r="D50" s="35"/>
      <c r="E50" s="61"/>
      <c r="F50" s="61"/>
      <c r="G50" s="58" t="str">
        <f aca="false">IF(OR(E50="",F50=""),"",(F50-E50)*24)</f>
        <v/>
      </c>
      <c r="H50" s="35"/>
      <c r="I50" s="35"/>
    </row>
    <row r="51" customFormat="false" ht="15" hidden="false" customHeight="true" outlineLevel="0" collapsed="false">
      <c r="A51" s="36"/>
      <c r="B51" s="35"/>
      <c r="C51" s="35"/>
      <c r="D51" s="35"/>
      <c r="E51" s="61"/>
      <c r="F51" s="61"/>
      <c r="G51" s="58" t="str">
        <f aca="false">IF(OR(E51="",F51=""),"",(F51-E51)*24)</f>
        <v/>
      </c>
      <c r="H51" s="35"/>
      <c r="I51" s="35"/>
    </row>
    <row r="52" customFormat="false" ht="15" hidden="false" customHeight="true" outlineLevel="0" collapsed="false">
      <c r="A52" s="36"/>
      <c r="B52" s="35"/>
      <c r="C52" s="35"/>
      <c r="D52" s="35"/>
      <c r="E52" s="61"/>
      <c r="F52" s="61"/>
      <c r="G52" s="58" t="str">
        <f aca="false">IF(OR(E52="",F52=""),"",(F52-E52)*24)</f>
        <v/>
      </c>
      <c r="H52" s="35"/>
      <c r="I52" s="35"/>
    </row>
    <row r="53" customFormat="false" ht="15" hidden="false" customHeight="true" outlineLevel="0" collapsed="false">
      <c r="A53" s="36"/>
      <c r="B53" s="35"/>
      <c r="C53" s="35"/>
      <c r="D53" s="35"/>
      <c r="E53" s="61"/>
      <c r="F53" s="61"/>
      <c r="G53" s="58" t="str">
        <f aca="false">IF(OR(E53="",F53=""),"",(F53-E53)*24)</f>
        <v/>
      </c>
      <c r="H53" s="35"/>
      <c r="I53" s="35"/>
    </row>
    <row r="54" customFormat="false" ht="15" hidden="false" customHeight="true" outlineLevel="0" collapsed="false">
      <c r="A54" s="36"/>
      <c r="B54" s="35"/>
      <c r="C54" s="35"/>
      <c r="D54" s="35"/>
      <c r="E54" s="61"/>
      <c r="F54" s="61"/>
      <c r="G54" s="58" t="str">
        <f aca="false">IF(OR(E54="",F54=""),"",(F54-E54)*24)</f>
        <v/>
      </c>
      <c r="H54" s="35"/>
      <c r="I54" s="35"/>
    </row>
    <row r="55" customFormat="false" ht="15" hidden="false" customHeight="true" outlineLevel="0" collapsed="false">
      <c r="A55" s="36"/>
      <c r="B55" s="35"/>
      <c r="C55" s="35"/>
      <c r="D55" s="35"/>
      <c r="E55" s="61"/>
      <c r="F55" s="61"/>
      <c r="G55" s="58" t="str">
        <f aca="false">IF(OR(E55="",F55=""),"",(F55-E55)*24)</f>
        <v/>
      </c>
      <c r="H55" s="35"/>
      <c r="I55" s="35"/>
    </row>
    <row r="56" customFormat="false" ht="15" hidden="false" customHeight="true" outlineLevel="0" collapsed="false">
      <c r="A56" s="36"/>
      <c r="B56" s="35"/>
      <c r="C56" s="35"/>
      <c r="D56" s="35"/>
      <c r="E56" s="61"/>
      <c r="F56" s="61"/>
      <c r="G56" s="58" t="str">
        <f aca="false">IF(OR(E56="",F56=""),"",(F56-E56)*24)</f>
        <v/>
      </c>
      <c r="H56" s="35"/>
      <c r="I56" s="35"/>
    </row>
    <row r="57" customFormat="false" ht="15" hidden="false" customHeight="true" outlineLevel="0" collapsed="false">
      <c r="A57" s="36"/>
      <c r="B57" s="35"/>
      <c r="C57" s="35"/>
      <c r="D57" s="35"/>
      <c r="E57" s="61"/>
      <c r="F57" s="61"/>
      <c r="G57" s="58" t="str">
        <f aca="false">IF(OR(E57="",F57=""),"",(F57-E57)*24)</f>
        <v/>
      </c>
      <c r="H57" s="35"/>
      <c r="I57" s="35"/>
    </row>
    <row r="58" customFormat="false" ht="15" hidden="false" customHeight="true" outlineLevel="0" collapsed="false">
      <c r="A58" s="36"/>
      <c r="B58" s="35"/>
      <c r="C58" s="35"/>
      <c r="D58" s="35"/>
      <c r="E58" s="61"/>
      <c r="F58" s="61"/>
      <c r="G58" s="58" t="str">
        <f aca="false">IF(OR(E58="",F58=""),"",(F58-E58)*24)</f>
        <v/>
      </c>
      <c r="H58" s="35"/>
      <c r="I58" s="35"/>
    </row>
    <row r="59" customFormat="false" ht="15" hidden="false" customHeight="true" outlineLevel="0" collapsed="false">
      <c r="A59" s="36"/>
      <c r="B59" s="35"/>
      <c r="C59" s="35"/>
      <c r="D59" s="35"/>
      <c r="E59" s="61"/>
      <c r="F59" s="61"/>
      <c r="G59" s="58" t="str">
        <f aca="false">IF(OR(E59="",F59=""),"",(F59-E59)*24)</f>
        <v/>
      </c>
      <c r="H59" s="35"/>
      <c r="I59" s="35"/>
    </row>
    <row r="60" customFormat="false" ht="15" hidden="false" customHeight="true" outlineLevel="0" collapsed="false">
      <c r="A60" s="36"/>
      <c r="B60" s="35"/>
      <c r="C60" s="35"/>
      <c r="D60" s="35"/>
      <c r="E60" s="61"/>
      <c r="F60" s="61"/>
      <c r="G60" s="58" t="str">
        <f aca="false">IF(OR(E60="",F60=""),"",(F60-E60)*24)</f>
        <v/>
      </c>
      <c r="H60" s="35"/>
      <c r="I60" s="35"/>
    </row>
    <row r="61" customFormat="false" ht="15" hidden="false" customHeight="true" outlineLevel="0" collapsed="false">
      <c r="A61" s="36"/>
      <c r="B61" s="35"/>
      <c r="C61" s="35"/>
      <c r="D61" s="35"/>
      <c r="E61" s="61"/>
      <c r="F61" s="61"/>
      <c r="G61" s="58" t="str">
        <f aca="false">IF(OR(E61="",F61=""),"",(F61-E61)*24)</f>
        <v/>
      </c>
      <c r="H61" s="35"/>
      <c r="I61" s="35"/>
    </row>
    <row r="62" customFormat="false" ht="15" hidden="false" customHeight="true" outlineLevel="0" collapsed="false">
      <c r="A62" s="36"/>
      <c r="B62" s="35"/>
      <c r="C62" s="35"/>
      <c r="D62" s="35"/>
      <c r="E62" s="61"/>
      <c r="F62" s="61"/>
      <c r="G62" s="58" t="str">
        <f aca="false">IF(OR(E62="",F62=""),"",(F62-E62)*24)</f>
        <v/>
      </c>
      <c r="H62" s="35"/>
      <c r="I62" s="35"/>
    </row>
    <row r="63" customFormat="false" ht="15" hidden="false" customHeight="true" outlineLevel="0" collapsed="false">
      <c r="A63" s="36"/>
      <c r="B63" s="35"/>
      <c r="C63" s="35"/>
      <c r="D63" s="35"/>
      <c r="E63" s="61"/>
      <c r="F63" s="61"/>
      <c r="G63" s="58" t="str">
        <f aca="false">IF(OR(E63="",F63=""),"",(F63-E63)*24)</f>
        <v/>
      </c>
      <c r="H63" s="35"/>
      <c r="I63" s="35"/>
    </row>
    <row r="64" customFormat="false" ht="15" hidden="false" customHeight="true" outlineLevel="0" collapsed="false">
      <c r="A64" s="36"/>
      <c r="B64" s="35"/>
      <c r="C64" s="35"/>
      <c r="D64" s="35"/>
      <c r="E64" s="61"/>
      <c r="F64" s="61"/>
      <c r="G64" s="58" t="str">
        <f aca="false">IF(OR(E64="",F64=""),"",(F64-E64)*24)</f>
        <v/>
      </c>
      <c r="H64" s="35"/>
      <c r="I64" s="35"/>
    </row>
    <row r="65" customFormat="false" ht="15" hidden="false" customHeight="true" outlineLevel="0" collapsed="false">
      <c r="A65" s="36"/>
      <c r="B65" s="35"/>
      <c r="C65" s="35"/>
      <c r="D65" s="35"/>
      <c r="E65" s="61"/>
      <c r="F65" s="61"/>
      <c r="G65" s="58" t="str">
        <f aca="false">IF(OR(E65="",F65=""),"",(F65-E65)*24)</f>
        <v/>
      </c>
      <c r="H65" s="35"/>
      <c r="I65" s="35"/>
    </row>
    <row r="66" customFormat="false" ht="15" hidden="false" customHeight="true" outlineLevel="0" collapsed="false">
      <c r="A66" s="36"/>
      <c r="B66" s="35"/>
      <c r="C66" s="35"/>
      <c r="D66" s="35"/>
      <c r="E66" s="61"/>
      <c r="F66" s="61"/>
      <c r="G66" s="58" t="str">
        <f aca="false">IF(OR(E66="",F66=""),"",(F66-E66)*24)</f>
        <v/>
      </c>
      <c r="H66" s="35"/>
      <c r="I66" s="35"/>
    </row>
    <row r="67" customFormat="false" ht="15" hidden="false" customHeight="true" outlineLevel="0" collapsed="false">
      <c r="A67" s="36"/>
      <c r="B67" s="35"/>
      <c r="C67" s="35"/>
      <c r="D67" s="35"/>
      <c r="E67" s="61"/>
      <c r="F67" s="61"/>
      <c r="G67" s="58" t="str">
        <f aca="false">IF(OR(E67="",F67=""),"",(F67-E67)*24)</f>
        <v/>
      </c>
      <c r="H67" s="35"/>
      <c r="I67" s="35"/>
    </row>
    <row r="68" customFormat="false" ht="15" hidden="false" customHeight="true" outlineLevel="0" collapsed="false">
      <c r="A68" s="36"/>
      <c r="B68" s="35"/>
      <c r="C68" s="35"/>
      <c r="D68" s="35"/>
      <c r="E68" s="61"/>
      <c r="F68" s="61"/>
      <c r="G68" s="58" t="str">
        <f aca="false">IF(OR(E68="",F68=""),"",(F68-E68)*24)</f>
        <v/>
      </c>
      <c r="H68" s="35"/>
      <c r="I68" s="35"/>
    </row>
    <row r="69" customFormat="false" ht="15" hidden="false" customHeight="true" outlineLevel="0" collapsed="false">
      <c r="A69" s="36"/>
      <c r="B69" s="35"/>
      <c r="C69" s="35"/>
      <c r="D69" s="35"/>
      <c r="E69" s="61"/>
      <c r="F69" s="61"/>
      <c r="G69" s="58" t="str">
        <f aca="false">IF(OR(E69="",F69=""),"",(F69-E69)*24)</f>
        <v/>
      </c>
      <c r="H69" s="35"/>
      <c r="I69" s="35"/>
    </row>
    <row r="70" customFormat="false" ht="15" hidden="false" customHeight="true" outlineLevel="0" collapsed="false">
      <c r="A70" s="36"/>
      <c r="B70" s="35"/>
      <c r="C70" s="35"/>
      <c r="D70" s="35"/>
      <c r="E70" s="61"/>
      <c r="F70" s="61"/>
      <c r="G70" s="58" t="str">
        <f aca="false">IF(OR(E70="",F70=""),"",(F70-E70)*24)</f>
        <v/>
      </c>
      <c r="H70" s="35"/>
      <c r="I70" s="35"/>
    </row>
    <row r="71" customFormat="false" ht="15" hidden="false" customHeight="true" outlineLevel="0" collapsed="false">
      <c r="A71" s="36"/>
      <c r="B71" s="35"/>
      <c r="C71" s="35"/>
      <c r="D71" s="35"/>
      <c r="E71" s="61"/>
      <c r="F71" s="61"/>
      <c r="G71" s="58" t="str">
        <f aca="false">IF(OR(E71="",F71=""),"",(F71-E71)*24)</f>
        <v/>
      </c>
      <c r="H71" s="35"/>
      <c r="I71" s="35"/>
    </row>
    <row r="72" customFormat="false" ht="15" hidden="false" customHeight="true" outlineLevel="0" collapsed="false">
      <c r="A72" s="36"/>
      <c r="B72" s="35"/>
      <c r="C72" s="35"/>
      <c r="D72" s="35"/>
      <c r="E72" s="61"/>
      <c r="F72" s="61"/>
      <c r="G72" s="58" t="str">
        <f aca="false">IF(OR(E72="",F72=""),"",(F72-E72)*24)</f>
        <v/>
      </c>
      <c r="H72" s="35"/>
      <c r="I72" s="35"/>
    </row>
    <row r="73" customFormat="false" ht="15" hidden="false" customHeight="true" outlineLevel="0" collapsed="false">
      <c r="A73" s="36"/>
      <c r="B73" s="35"/>
      <c r="C73" s="35"/>
      <c r="D73" s="35"/>
      <c r="E73" s="61"/>
      <c r="F73" s="61"/>
      <c r="G73" s="58" t="str">
        <f aca="false">IF(OR(E73="",F73=""),"",(F73-E73)*24)</f>
        <v/>
      </c>
      <c r="H73" s="35"/>
      <c r="I73" s="35"/>
    </row>
    <row r="74" customFormat="false" ht="15" hidden="false" customHeight="true" outlineLevel="0" collapsed="false">
      <c r="A74" s="36"/>
      <c r="B74" s="35"/>
      <c r="C74" s="35"/>
      <c r="D74" s="35"/>
      <c r="E74" s="61"/>
      <c r="F74" s="61"/>
      <c r="G74" s="58" t="str">
        <f aca="false">IF(OR(E74="",F74=""),"",(F74-E74)*24)</f>
        <v/>
      </c>
      <c r="H74" s="35"/>
      <c r="I74" s="35"/>
    </row>
    <row r="75" customFormat="false" ht="15" hidden="false" customHeight="true" outlineLevel="0" collapsed="false">
      <c r="A75" s="36"/>
      <c r="B75" s="35"/>
      <c r="C75" s="35"/>
      <c r="D75" s="35"/>
      <c r="E75" s="61"/>
      <c r="F75" s="61"/>
      <c r="G75" s="58" t="str">
        <f aca="false">IF(OR(E75="",F75=""),"",(F75-E75)*24)</f>
        <v/>
      </c>
      <c r="H75" s="35"/>
      <c r="I75" s="35"/>
    </row>
    <row r="76" customFormat="false" ht="15" hidden="false" customHeight="true" outlineLevel="0" collapsed="false">
      <c r="A76" s="36"/>
      <c r="B76" s="35"/>
      <c r="C76" s="35"/>
      <c r="D76" s="35"/>
      <c r="E76" s="61"/>
      <c r="F76" s="61"/>
      <c r="G76" s="58" t="str">
        <f aca="false">IF(OR(E76="",F76=""),"",(F76-E76)*24)</f>
        <v/>
      </c>
      <c r="H76" s="35"/>
      <c r="I76" s="35"/>
    </row>
    <row r="77" customFormat="false" ht="15" hidden="false" customHeight="true" outlineLevel="0" collapsed="false">
      <c r="A77" s="36"/>
      <c r="B77" s="35"/>
      <c r="C77" s="35"/>
      <c r="D77" s="35"/>
      <c r="E77" s="61"/>
      <c r="F77" s="61"/>
      <c r="G77" s="58" t="str">
        <f aca="false">IF(OR(E77="",F77=""),"",(F77-E77)*24)</f>
        <v/>
      </c>
      <c r="H77" s="35"/>
      <c r="I77" s="35"/>
    </row>
    <row r="78" customFormat="false" ht="15" hidden="false" customHeight="true" outlineLevel="0" collapsed="false">
      <c r="A78" s="36"/>
      <c r="B78" s="35"/>
      <c r="C78" s="35"/>
      <c r="D78" s="35"/>
      <c r="E78" s="61"/>
      <c r="F78" s="61"/>
      <c r="G78" s="58" t="str">
        <f aca="false">IF(OR(E78="",F78=""),"",(F78-E78)*24)</f>
        <v/>
      </c>
      <c r="H78" s="35"/>
      <c r="I78" s="35"/>
    </row>
    <row r="79" customFormat="false" ht="15" hidden="false" customHeight="true" outlineLevel="0" collapsed="false">
      <c r="A79" s="36"/>
      <c r="B79" s="35"/>
      <c r="C79" s="35"/>
      <c r="D79" s="35"/>
      <c r="E79" s="61"/>
      <c r="F79" s="61"/>
      <c r="G79" s="58" t="str">
        <f aca="false">IF(OR(E79="",F79=""),"",(F79-E79)*24)</f>
        <v/>
      </c>
      <c r="H79" s="35"/>
      <c r="I79" s="35"/>
    </row>
    <row r="80" customFormat="false" ht="15" hidden="false" customHeight="true" outlineLevel="0" collapsed="false">
      <c r="A80" s="36"/>
      <c r="B80" s="35"/>
      <c r="C80" s="35"/>
      <c r="D80" s="35"/>
      <c r="E80" s="61"/>
      <c r="F80" s="61"/>
      <c r="G80" s="58" t="str">
        <f aca="false">IF(OR(E80="",F80=""),"",(F80-E80)*24)</f>
        <v/>
      </c>
      <c r="H80" s="35"/>
      <c r="I80" s="35"/>
    </row>
    <row r="81" customFormat="false" ht="15" hidden="false" customHeight="true" outlineLevel="0" collapsed="false">
      <c r="A81" s="36"/>
      <c r="B81" s="35"/>
      <c r="C81" s="35"/>
      <c r="D81" s="35"/>
      <c r="E81" s="61"/>
      <c r="F81" s="61"/>
      <c r="G81" s="58" t="str">
        <f aca="false">IF(OR(E81="",F81=""),"",(F81-E81)*24)</f>
        <v/>
      </c>
      <c r="H81" s="35"/>
      <c r="I81" s="35"/>
    </row>
    <row r="82" customFormat="false" ht="15" hidden="false" customHeight="true" outlineLevel="0" collapsed="false">
      <c r="A82" s="36"/>
      <c r="B82" s="35"/>
      <c r="C82" s="35"/>
      <c r="D82" s="35"/>
      <c r="E82" s="61"/>
      <c r="F82" s="61"/>
      <c r="G82" s="58" t="str">
        <f aca="false">IF(OR(E82="",F82=""),"",(F82-E82)*24)</f>
        <v/>
      </c>
      <c r="H82" s="35"/>
      <c r="I82" s="35"/>
    </row>
    <row r="83" customFormat="false" ht="15" hidden="false" customHeight="true" outlineLevel="0" collapsed="false">
      <c r="A83" s="36"/>
      <c r="B83" s="35"/>
      <c r="C83" s="35"/>
      <c r="D83" s="35"/>
      <c r="E83" s="61"/>
      <c r="F83" s="61"/>
      <c r="G83" s="58" t="str">
        <f aca="false">IF(OR(E83="",F83=""),"",(F83-E83)*24)</f>
        <v/>
      </c>
      <c r="H83" s="35"/>
      <c r="I83" s="35"/>
    </row>
    <row r="84" customFormat="false" ht="15" hidden="false" customHeight="true" outlineLevel="0" collapsed="false">
      <c r="A84" s="36"/>
      <c r="B84" s="35"/>
      <c r="C84" s="35"/>
      <c r="D84" s="35"/>
      <c r="E84" s="61"/>
      <c r="F84" s="61"/>
      <c r="G84" s="58" t="str">
        <f aca="false">IF(OR(E84="",F84=""),"",(F84-E84)*24)</f>
        <v/>
      </c>
      <c r="H84" s="35"/>
      <c r="I84" s="35"/>
    </row>
    <row r="85" customFormat="false" ht="15" hidden="false" customHeight="true" outlineLevel="0" collapsed="false">
      <c r="A85" s="36"/>
      <c r="B85" s="35"/>
      <c r="C85" s="35"/>
      <c r="D85" s="35"/>
      <c r="E85" s="61"/>
      <c r="F85" s="61"/>
      <c r="G85" s="58" t="str">
        <f aca="false">IF(OR(E85="",F85=""),"",(F85-E85)*24)</f>
        <v/>
      </c>
      <c r="H85" s="35"/>
      <c r="I85" s="35"/>
    </row>
    <row r="86" customFormat="false" ht="15" hidden="false" customHeight="true" outlineLevel="0" collapsed="false">
      <c r="A86" s="36"/>
      <c r="B86" s="35"/>
      <c r="C86" s="35"/>
      <c r="D86" s="35"/>
      <c r="E86" s="61"/>
      <c r="F86" s="61"/>
      <c r="G86" s="58" t="str">
        <f aca="false">IF(OR(E86="",F86=""),"",(F86-E86)*24)</f>
        <v/>
      </c>
      <c r="H86" s="35"/>
      <c r="I86" s="35"/>
    </row>
    <row r="87" customFormat="false" ht="15" hidden="false" customHeight="true" outlineLevel="0" collapsed="false">
      <c r="A87" s="36"/>
      <c r="B87" s="35"/>
      <c r="C87" s="35"/>
      <c r="D87" s="35"/>
      <c r="E87" s="61"/>
      <c r="F87" s="61"/>
      <c r="G87" s="58" t="str">
        <f aca="false">IF(OR(E87="",F87=""),"",(F87-E87)*24)</f>
        <v/>
      </c>
      <c r="H87" s="35"/>
      <c r="I87" s="35"/>
    </row>
    <row r="88" customFormat="false" ht="15" hidden="false" customHeight="true" outlineLevel="0" collapsed="false">
      <c r="A88" s="36"/>
      <c r="B88" s="35"/>
      <c r="C88" s="35"/>
      <c r="D88" s="35"/>
      <c r="E88" s="61"/>
      <c r="F88" s="61"/>
      <c r="G88" s="58" t="str">
        <f aca="false">IF(OR(E88="",F88=""),"",(F88-E88)*24)</f>
        <v/>
      </c>
      <c r="H88" s="35"/>
      <c r="I88" s="35"/>
    </row>
    <row r="89" customFormat="false" ht="15" hidden="false" customHeight="true" outlineLevel="0" collapsed="false">
      <c r="A89" s="36"/>
      <c r="B89" s="35"/>
      <c r="C89" s="35"/>
      <c r="D89" s="35"/>
      <c r="E89" s="61"/>
      <c r="F89" s="61"/>
      <c r="G89" s="58" t="str">
        <f aca="false">IF(OR(E89="",F89=""),"",(F89-E89)*24)</f>
        <v/>
      </c>
      <c r="H89" s="35"/>
      <c r="I89" s="35"/>
    </row>
    <row r="90" customFormat="false" ht="15" hidden="false" customHeight="true" outlineLevel="0" collapsed="false">
      <c r="A90" s="36"/>
      <c r="B90" s="35"/>
      <c r="C90" s="35"/>
      <c r="D90" s="35"/>
      <c r="E90" s="61"/>
      <c r="F90" s="61"/>
      <c r="G90" s="58" t="str">
        <f aca="false">IF(OR(E90="",F90=""),"",(F90-E90)*24)</f>
        <v/>
      </c>
      <c r="H90" s="35"/>
      <c r="I90" s="35"/>
    </row>
    <row r="91" customFormat="false" ht="15" hidden="false" customHeight="true" outlineLevel="0" collapsed="false">
      <c r="A91" s="36"/>
      <c r="B91" s="35"/>
      <c r="C91" s="35"/>
      <c r="D91" s="35"/>
      <c r="E91" s="61"/>
      <c r="F91" s="61"/>
      <c r="G91" s="58" t="str">
        <f aca="false">IF(OR(E91="",F91=""),"",(F91-E91)*24)</f>
        <v/>
      </c>
      <c r="H91" s="35"/>
      <c r="I91" s="35"/>
    </row>
    <row r="92" customFormat="false" ht="15" hidden="false" customHeight="true" outlineLevel="0" collapsed="false">
      <c r="A92" s="36"/>
      <c r="B92" s="35"/>
      <c r="C92" s="35"/>
      <c r="D92" s="35"/>
      <c r="E92" s="61"/>
      <c r="F92" s="61"/>
      <c r="G92" s="58" t="str">
        <f aca="false">IF(OR(E92="",F92=""),"",(F92-E92)*24)</f>
        <v/>
      </c>
      <c r="H92" s="35"/>
      <c r="I92" s="35"/>
    </row>
    <row r="93" customFormat="false" ht="15" hidden="false" customHeight="true" outlineLevel="0" collapsed="false">
      <c r="A93" s="36"/>
      <c r="B93" s="35"/>
      <c r="C93" s="35"/>
      <c r="D93" s="35"/>
      <c r="E93" s="61"/>
      <c r="F93" s="61"/>
      <c r="G93" s="58" t="str">
        <f aca="false">IF(OR(E93="",F93=""),"",(F93-E93)*24)</f>
        <v/>
      </c>
      <c r="H93" s="35"/>
      <c r="I93" s="35"/>
    </row>
    <row r="94" customFormat="false" ht="15" hidden="false" customHeight="true" outlineLevel="0" collapsed="false">
      <c r="A94" s="36"/>
      <c r="B94" s="35"/>
      <c r="C94" s="35"/>
      <c r="D94" s="35"/>
      <c r="E94" s="61"/>
      <c r="F94" s="61"/>
      <c r="G94" s="58" t="str">
        <f aca="false">IF(OR(E94="",F94=""),"",(F94-E94)*24)</f>
        <v/>
      </c>
      <c r="H94" s="35"/>
      <c r="I94" s="35"/>
    </row>
    <row r="95" customFormat="false" ht="15" hidden="false" customHeight="true" outlineLevel="0" collapsed="false">
      <c r="A95" s="36"/>
      <c r="B95" s="35"/>
      <c r="C95" s="35"/>
      <c r="D95" s="35"/>
      <c r="E95" s="61"/>
      <c r="F95" s="61"/>
      <c r="G95" s="58" t="str">
        <f aca="false">IF(OR(E95="",F95=""),"",(F95-E95)*24)</f>
        <v/>
      </c>
      <c r="H95" s="35"/>
      <c r="I95" s="35"/>
    </row>
    <row r="96" customFormat="false" ht="15" hidden="false" customHeight="true" outlineLevel="0" collapsed="false">
      <c r="A96" s="36"/>
      <c r="B96" s="35"/>
      <c r="C96" s="35"/>
      <c r="D96" s="35"/>
      <c r="E96" s="61"/>
      <c r="F96" s="61"/>
      <c r="G96" s="58" t="str">
        <f aca="false">IF(OR(E96="",F96=""),"",(F96-E96)*24)</f>
        <v/>
      </c>
      <c r="H96" s="35"/>
      <c r="I96" s="35"/>
    </row>
    <row r="97" customFormat="false" ht="15" hidden="false" customHeight="true" outlineLevel="0" collapsed="false">
      <c r="A97" s="36"/>
      <c r="B97" s="35"/>
      <c r="C97" s="35"/>
      <c r="D97" s="35"/>
      <c r="E97" s="61"/>
      <c r="F97" s="61"/>
      <c r="G97" s="58" t="str">
        <f aca="false">IF(OR(E97="",F97=""),"",(F97-E97)*24)</f>
        <v/>
      </c>
      <c r="H97" s="35"/>
      <c r="I97" s="35"/>
    </row>
    <row r="98" customFormat="false" ht="15" hidden="false" customHeight="true" outlineLevel="0" collapsed="false">
      <c r="A98" s="36"/>
      <c r="B98" s="35"/>
      <c r="C98" s="35"/>
      <c r="D98" s="35"/>
      <c r="E98" s="61"/>
      <c r="F98" s="61"/>
      <c r="G98" s="58" t="str">
        <f aca="false">IF(OR(E98="",F98=""),"",(F98-E98)*24)</f>
        <v/>
      </c>
      <c r="H98" s="35"/>
      <c r="I98" s="35"/>
    </row>
    <row r="99" customFormat="false" ht="15" hidden="false" customHeight="true" outlineLevel="0" collapsed="false">
      <c r="A99" s="36"/>
      <c r="B99" s="35"/>
      <c r="C99" s="35"/>
      <c r="D99" s="35"/>
      <c r="E99" s="61"/>
      <c r="F99" s="61"/>
      <c r="G99" s="58" t="str">
        <f aca="false">IF(OR(E99="",F99=""),"",(F99-E99)*24)</f>
        <v/>
      </c>
      <c r="H99" s="35"/>
      <c r="I99" s="35"/>
    </row>
    <row r="100" customFormat="false" ht="15" hidden="false" customHeight="true" outlineLevel="0" collapsed="false">
      <c r="A100" s="36"/>
      <c r="B100" s="35"/>
      <c r="C100" s="35"/>
      <c r="D100" s="35"/>
      <c r="E100" s="61"/>
      <c r="F100" s="61"/>
      <c r="G100" s="58" t="str">
        <f aca="false">IF(OR(E100="",F100=""),"",(F100-E100)*24)</f>
        <v/>
      </c>
      <c r="H100" s="35"/>
      <c r="I100" s="35"/>
    </row>
    <row r="101" customFormat="false" ht="15" hidden="false" customHeight="true" outlineLevel="0" collapsed="false">
      <c r="A101" s="36"/>
      <c r="B101" s="35"/>
      <c r="C101" s="35"/>
      <c r="D101" s="35"/>
      <c r="E101" s="61"/>
      <c r="F101" s="61"/>
      <c r="G101" s="58" t="str">
        <f aca="false">IF(OR(E101="",F101=""),"",(F101-E101)*24)</f>
        <v/>
      </c>
      <c r="H101" s="35"/>
      <c r="I101" s="35"/>
    </row>
    <row r="102" customFormat="false" ht="15" hidden="false" customHeight="true" outlineLevel="0" collapsed="false">
      <c r="A102" s="36"/>
      <c r="B102" s="35"/>
      <c r="C102" s="35"/>
      <c r="D102" s="35"/>
      <c r="E102" s="61"/>
      <c r="F102" s="61"/>
      <c r="G102" s="58" t="str">
        <f aca="false">IF(OR(E102="",F102=""),"",(F102-E102)*24)</f>
        <v/>
      </c>
      <c r="H102" s="35"/>
      <c r="I102" s="35"/>
    </row>
    <row r="103" customFormat="false" ht="15" hidden="false" customHeight="true" outlineLevel="0" collapsed="false">
      <c r="A103" s="36"/>
      <c r="B103" s="35"/>
      <c r="C103" s="35"/>
      <c r="D103" s="35"/>
      <c r="E103" s="61"/>
      <c r="F103" s="61"/>
      <c r="G103" s="58" t="str">
        <f aca="false">IF(OR(E103="",F103=""),"",(F103-E103)*24)</f>
        <v/>
      </c>
      <c r="H103" s="35"/>
      <c r="I103" s="35"/>
    </row>
    <row r="104" customFormat="false" ht="15" hidden="false" customHeight="true" outlineLevel="0" collapsed="false">
      <c r="A104" s="36"/>
      <c r="B104" s="35"/>
      <c r="C104" s="35"/>
      <c r="D104" s="35"/>
      <c r="E104" s="61"/>
      <c r="F104" s="61"/>
      <c r="G104" s="58" t="str">
        <f aca="false">IF(OR(E104="",F104=""),"",(F104-E104)*24)</f>
        <v/>
      </c>
      <c r="H104" s="35"/>
      <c r="I104" s="35"/>
    </row>
    <row r="105" customFormat="false" ht="15" hidden="false" customHeight="true" outlineLevel="0" collapsed="false">
      <c r="A105" s="36"/>
      <c r="B105" s="35"/>
      <c r="C105" s="35"/>
      <c r="D105" s="35"/>
      <c r="E105" s="61"/>
      <c r="F105" s="61"/>
      <c r="G105" s="58" t="str">
        <f aca="false">IF(OR(E105="",F105=""),"",(F105-E105)*24)</f>
        <v/>
      </c>
      <c r="H105" s="35"/>
      <c r="I105" s="35"/>
    </row>
    <row r="106" customFormat="false" ht="15" hidden="false" customHeight="true" outlineLevel="0" collapsed="false">
      <c r="A106" s="36"/>
      <c r="B106" s="35"/>
      <c r="C106" s="35"/>
      <c r="D106" s="35"/>
      <c r="E106" s="61"/>
      <c r="F106" s="61"/>
      <c r="G106" s="58" t="str">
        <f aca="false">IF(OR(E106="",F106=""),"",(F106-E106)*24)</f>
        <v/>
      </c>
      <c r="H106" s="35"/>
      <c r="I106" s="35"/>
    </row>
    <row r="107" customFormat="false" ht="15" hidden="false" customHeight="true" outlineLevel="0" collapsed="false">
      <c r="A107" s="36"/>
      <c r="B107" s="35"/>
      <c r="C107" s="35"/>
      <c r="D107" s="35"/>
      <c r="E107" s="61"/>
      <c r="F107" s="61"/>
      <c r="G107" s="58" t="str">
        <f aca="false">IF(OR(E107="",F107=""),"",(F107-E107)*24)</f>
        <v/>
      </c>
      <c r="H107" s="35"/>
      <c r="I107" s="35"/>
    </row>
    <row r="108" customFormat="false" ht="15" hidden="false" customHeight="true" outlineLevel="0" collapsed="false">
      <c r="A108" s="36"/>
      <c r="B108" s="35"/>
      <c r="C108" s="35"/>
      <c r="D108" s="35"/>
      <c r="E108" s="61"/>
      <c r="F108" s="61"/>
      <c r="G108" s="58" t="str">
        <f aca="false">IF(OR(E108="",F108=""),"",(F108-E108)*24)</f>
        <v/>
      </c>
      <c r="H108" s="35"/>
      <c r="I108" s="35"/>
    </row>
    <row r="109" customFormat="false" ht="15" hidden="false" customHeight="true" outlineLevel="0" collapsed="false">
      <c r="A109" s="36"/>
      <c r="B109" s="35"/>
      <c r="C109" s="35"/>
      <c r="D109" s="35"/>
      <c r="E109" s="61"/>
      <c r="F109" s="61"/>
      <c r="G109" s="58" t="str">
        <f aca="false">IF(OR(E109="",F109=""),"",(F109-E109)*24)</f>
        <v/>
      </c>
      <c r="H109" s="35"/>
      <c r="I109" s="35"/>
    </row>
    <row r="110" customFormat="false" ht="15" hidden="false" customHeight="true" outlineLevel="0" collapsed="false">
      <c r="A110" s="36"/>
      <c r="B110" s="35"/>
      <c r="C110" s="35"/>
      <c r="D110" s="35"/>
      <c r="E110" s="61"/>
      <c r="F110" s="61"/>
      <c r="G110" s="58" t="str">
        <f aca="false">IF(OR(E110="",F110=""),"",(F110-E110)*24)</f>
        <v/>
      </c>
      <c r="H110" s="35"/>
      <c r="I110" s="35"/>
    </row>
    <row r="111" customFormat="false" ht="15" hidden="false" customHeight="true" outlineLevel="0" collapsed="false">
      <c r="A111" s="36"/>
      <c r="B111" s="35"/>
      <c r="C111" s="35"/>
      <c r="D111" s="35"/>
      <c r="E111" s="61"/>
      <c r="F111" s="61"/>
      <c r="G111" s="58" t="str">
        <f aca="false">IF(OR(E111="",F111=""),"",(F111-E111)*24)</f>
        <v/>
      </c>
      <c r="H111" s="35"/>
      <c r="I111" s="35"/>
    </row>
    <row r="112" customFormat="false" ht="15" hidden="false" customHeight="true" outlineLevel="0" collapsed="false">
      <c r="A112" s="36"/>
      <c r="B112" s="35"/>
      <c r="C112" s="35"/>
      <c r="D112" s="35"/>
      <c r="E112" s="61"/>
      <c r="F112" s="61"/>
      <c r="G112" s="58" t="str">
        <f aca="false">IF(OR(E112="",F112=""),"",(F112-E112)*24)</f>
        <v/>
      </c>
      <c r="H112" s="35"/>
      <c r="I112" s="35"/>
    </row>
    <row r="113" customFormat="false" ht="15" hidden="false" customHeight="true" outlineLevel="0" collapsed="false">
      <c r="A113" s="36"/>
      <c r="B113" s="35"/>
      <c r="C113" s="35"/>
      <c r="D113" s="35"/>
      <c r="E113" s="61"/>
      <c r="F113" s="61"/>
      <c r="G113" s="58" t="str">
        <f aca="false">IF(OR(E113="",F113=""),"",(F113-E113)*24)</f>
        <v/>
      </c>
      <c r="H113" s="35"/>
      <c r="I113" s="35"/>
    </row>
    <row r="114" customFormat="false" ht="15" hidden="false" customHeight="true" outlineLevel="0" collapsed="false">
      <c r="A114" s="36"/>
      <c r="B114" s="35"/>
      <c r="C114" s="35"/>
      <c r="D114" s="35"/>
      <c r="E114" s="61"/>
      <c r="F114" s="61"/>
      <c r="G114" s="58" t="str">
        <f aca="false">IF(OR(E114="",F114=""),"",(F114-E114)*24)</f>
        <v/>
      </c>
      <c r="H114" s="35"/>
      <c r="I114" s="35"/>
    </row>
    <row r="115" customFormat="false" ht="15" hidden="false" customHeight="true" outlineLevel="0" collapsed="false">
      <c r="A115" s="36"/>
      <c r="B115" s="35"/>
      <c r="C115" s="35"/>
      <c r="D115" s="35"/>
      <c r="E115" s="61"/>
      <c r="F115" s="61"/>
      <c r="G115" s="58" t="str">
        <f aca="false">IF(OR(E115="",F115=""),"",(F115-E115)*24)</f>
        <v/>
      </c>
      <c r="H115" s="35"/>
      <c r="I115" s="35"/>
    </row>
    <row r="116" customFormat="false" ht="15" hidden="false" customHeight="true" outlineLevel="0" collapsed="false">
      <c r="A116" s="36"/>
      <c r="B116" s="35"/>
      <c r="C116" s="35"/>
      <c r="D116" s="35"/>
      <c r="E116" s="61"/>
      <c r="F116" s="61"/>
      <c r="G116" s="58" t="str">
        <f aca="false">IF(OR(E116="",F116=""),"",(F116-E116)*24)</f>
        <v/>
      </c>
      <c r="H116" s="35"/>
      <c r="I116" s="35"/>
    </row>
    <row r="117" customFormat="false" ht="15" hidden="false" customHeight="true" outlineLevel="0" collapsed="false">
      <c r="A117" s="36"/>
      <c r="B117" s="35"/>
      <c r="C117" s="35"/>
      <c r="D117" s="35"/>
      <c r="E117" s="61"/>
      <c r="F117" s="61"/>
      <c r="G117" s="58" t="str">
        <f aca="false">IF(OR(E117="",F117=""),"",(F117-E117)*24)</f>
        <v/>
      </c>
      <c r="H117" s="35"/>
      <c r="I117" s="35"/>
    </row>
    <row r="118" customFormat="false" ht="15" hidden="false" customHeight="true" outlineLevel="0" collapsed="false">
      <c r="A118" s="36"/>
      <c r="B118" s="35"/>
      <c r="C118" s="35"/>
      <c r="D118" s="35"/>
      <c r="E118" s="61"/>
      <c r="F118" s="61"/>
      <c r="G118" s="58" t="str">
        <f aca="false">IF(OR(E118="",F118=""),"",(F118-E118)*24)</f>
        <v/>
      </c>
      <c r="H118" s="35"/>
      <c r="I118" s="35"/>
    </row>
    <row r="119" customFormat="false" ht="15" hidden="false" customHeight="true" outlineLevel="0" collapsed="false">
      <c r="A119" s="36"/>
      <c r="B119" s="35"/>
      <c r="C119" s="35"/>
      <c r="D119" s="35"/>
      <c r="E119" s="61"/>
      <c r="F119" s="61"/>
      <c r="G119" s="58" t="str">
        <f aca="false">IF(OR(E119="",F119=""),"",(F119-E119)*24)</f>
        <v/>
      </c>
      <c r="H119" s="35"/>
      <c r="I119" s="35"/>
    </row>
    <row r="120" customFormat="false" ht="15" hidden="false" customHeight="true" outlineLevel="0" collapsed="false">
      <c r="A120" s="36"/>
      <c r="B120" s="35"/>
      <c r="C120" s="35"/>
      <c r="D120" s="35"/>
      <c r="E120" s="61"/>
      <c r="F120" s="61"/>
      <c r="G120" s="58" t="str">
        <f aca="false">IF(OR(E120="",F120=""),"",(F120-E120)*24)</f>
        <v/>
      </c>
      <c r="H120" s="35"/>
      <c r="I120" s="35"/>
    </row>
    <row r="121" customFormat="false" ht="15" hidden="false" customHeight="true" outlineLevel="0" collapsed="false">
      <c r="A121" s="36"/>
      <c r="B121" s="35"/>
      <c r="C121" s="35"/>
      <c r="D121" s="35"/>
      <c r="E121" s="61"/>
      <c r="F121" s="61"/>
      <c r="G121" s="58" t="str">
        <f aca="false">IF(OR(E121="",F121=""),"",(F121-E121)*24)</f>
        <v/>
      </c>
      <c r="H121" s="35"/>
      <c r="I121" s="35"/>
    </row>
    <row r="122" customFormat="false" ht="15" hidden="false" customHeight="true" outlineLevel="0" collapsed="false">
      <c r="A122" s="36"/>
      <c r="B122" s="35"/>
      <c r="C122" s="35"/>
      <c r="D122" s="35"/>
      <c r="E122" s="61"/>
      <c r="F122" s="61"/>
      <c r="G122" s="58" t="str">
        <f aca="false">IF(OR(E122="",F122=""),"",(F122-E122)*24)</f>
        <v/>
      </c>
      <c r="H122" s="35"/>
      <c r="I122" s="35"/>
    </row>
    <row r="123" customFormat="false" ht="15" hidden="false" customHeight="true" outlineLevel="0" collapsed="false">
      <c r="A123" s="36"/>
      <c r="B123" s="35"/>
      <c r="C123" s="35"/>
      <c r="D123" s="35"/>
      <c r="E123" s="61"/>
      <c r="F123" s="61"/>
      <c r="G123" s="58" t="str">
        <f aca="false">IF(OR(E123="",F123=""),"",(F123-E123)*24)</f>
        <v/>
      </c>
      <c r="H123" s="35"/>
      <c r="I123" s="35"/>
    </row>
    <row r="124" customFormat="false" ht="15" hidden="false" customHeight="true" outlineLevel="0" collapsed="false">
      <c r="A124" s="36"/>
      <c r="B124" s="35"/>
      <c r="C124" s="35"/>
      <c r="D124" s="35"/>
      <c r="E124" s="61"/>
      <c r="F124" s="61"/>
      <c r="G124" s="58" t="str">
        <f aca="false">IF(OR(E124="",F124=""),"",(F124-E124)*24)</f>
        <v/>
      </c>
      <c r="H124" s="35"/>
      <c r="I124" s="35"/>
    </row>
    <row r="125" customFormat="false" ht="15" hidden="false" customHeight="true" outlineLevel="0" collapsed="false">
      <c r="A125" s="36"/>
      <c r="B125" s="35"/>
      <c r="C125" s="35"/>
      <c r="D125" s="35"/>
      <c r="E125" s="61"/>
      <c r="F125" s="61"/>
      <c r="G125" s="58" t="str">
        <f aca="false">IF(OR(E125="",F125=""),"",(F125-E125)*24)</f>
        <v/>
      </c>
      <c r="H125" s="35"/>
      <c r="I125" s="35"/>
    </row>
    <row r="126" customFormat="false" ht="15" hidden="false" customHeight="true" outlineLevel="0" collapsed="false">
      <c r="A126" s="36"/>
      <c r="B126" s="35"/>
      <c r="C126" s="35"/>
      <c r="D126" s="35"/>
      <c r="E126" s="61"/>
      <c r="F126" s="61"/>
      <c r="G126" s="58" t="str">
        <f aca="false">IF(OR(E126="",F126=""),"",(F126-E126)*24)</f>
        <v/>
      </c>
      <c r="H126" s="35"/>
      <c r="I126" s="35"/>
    </row>
    <row r="127" customFormat="false" ht="15" hidden="false" customHeight="true" outlineLevel="0" collapsed="false">
      <c r="A127" s="36"/>
      <c r="B127" s="35"/>
      <c r="C127" s="35"/>
      <c r="D127" s="35"/>
      <c r="E127" s="61"/>
      <c r="F127" s="61"/>
      <c r="G127" s="58" t="str">
        <f aca="false">IF(OR(E127="",F127=""),"",(F127-E127)*24)</f>
        <v/>
      </c>
      <c r="H127" s="35"/>
      <c r="I127" s="35"/>
    </row>
    <row r="128" customFormat="false" ht="15" hidden="false" customHeight="true" outlineLevel="0" collapsed="false">
      <c r="A128" s="36"/>
      <c r="B128" s="35"/>
      <c r="C128" s="35"/>
      <c r="D128" s="35"/>
      <c r="E128" s="61"/>
      <c r="F128" s="61"/>
      <c r="G128" s="58" t="str">
        <f aca="false">IF(OR(E128="",F128=""),"",(F128-E128)*24)</f>
        <v/>
      </c>
      <c r="H128" s="35"/>
      <c r="I128" s="35"/>
    </row>
    <row r="129" customFormat="false" ht="15" hidden="false" customHeight="true" outlineLevel="0" collapsed="false">
      <c r="A129" s="36"/>
      <c r="B129" s="35"/>
      <c r="C129" s="35"/>
      <c r="D129" s="35"/>
      <c r="E129" s="61"/>
      <c r="F129" s="61"/>
      <c r="G129" s="58" t="str">
        <f aca="false">IF(OR(E129="",F129=""),"",(F129-E129)*24)</f>
        <v/>
      </c>
      <c r="H129" s="35"/>
      <c r="I129" s="35"/>
    </row>
    <row r="130" customFormat="false" ht="15" hidden="false" customHeight="true" outlineLevel="0" collapsed="false">
      <c r="A130" s="36"/>
      <c r="B130" s="35"/>
      <c r="C130" s="35"/>
      <c r="D130" s="35"/>
      <c r="E130" s="61"/>
      <c r="F130" s="61"/>
      <c r="G130" s="58" t="str">
        <f aca="false">IF(OR(E130="",F130=""),"",(F130-E130)*24)</f>
        <v/>
      </c>
      <c r="H130" s="35"/>
      <c r="I130" s="35"/>
    </row>
    <row r="131" customFormat="false" ht="15" hidden="false" customHeight="true" outlineLevel="0" collapsed="false">
      <c r="A131" s="36"/>
      <c r="B131" s="35"/>
      <c r="C131" s="35"/>
      <c r="D131" s="35"/>
      <c r="E131" s="61"/>
      <c r="F131" s="61"/>
      <c r="G131" s="58" t="str">
        <f aca="false">IF(OR(E131="",F131=""),"",(F131-E131)*24)</f>
        <v/>
      </c>
      <c r="H131" s="35"/>
      <c r="I131" s="35"/>
    </row>
    <row r="132" customFormat="false" ht="15" hidden="false" customHeight="true" outlineLevel="0" collapsed="false">
      <c r="A132" s="36"/>
      <c r="B132" s="35"/>
      <c r="C132" s="35"/>
      <c r="D132" s="35"/>
      <c r="E132" s="61"/>
      <c r="F132" s="61"/>
      <c r="G132" s="58" t="str">
        <f aca="false">IF(OR(E132="",F132=""),"",(F132-E132)*24)</f>
        <v/>
      </c>
      <c r="H132" s="35"/>
      <c r="I132" s="35"/>
    </row>
    <row r="133" customFormat="false" ht="15" hidden="false" customHeight="true" outlineLevel="0" collapsed="false">
      <c r="A133" s="36"/>
      <c r="B133" s="35"/>
      <c r="C133" s="35"/>
      <c r="D133" s="35"/>
      <c r="E133" s="61"/>
      <c r="F133" s="61"/>
      <c r="G133" s="58" t="str">
        <f aca="false">IF(OR(E133="",F133=""),"",(F133-E133)*24)</f>
        <v/>
      </c>
      <c r="H133" s="35"/>
      <c r="I133" s="35"/>
    </row>
    <row r="134" customFormat="false" ht="15" hidden="false" customHeight="true" outlineLevel="0" collapsed="false">
      <c r="A134" s="36"/>
      <c r="B134" s="35"/>
      <c r="C134" s="35"/>
      <c r="D134" s="35"/>
      <c r="E134" s="61"/>
      <c r="F134" s="61"/>
      <c r="G134" s="58" t="str">
        <f aca="false">IF(OR(E134="",F134=""),"",(F134-E134)*24)</f>
        <v/>
      </c>
      <c r="H134" s="35"/>
      <c r="I134" s="35"/>
    </row>
    <row r="135" customFormat="false" ht="15" hidden="false" customHeight="true" outlineLevel="0" collapsed="false">
      <c r="A135" s="36"/>
      <c r="B135" s="35"/>
      <c r="C135" s="35"/>
      <c r="D135" s="35"/>
      <c r="E135" s="61"/>
      <c r="F135" s="61"/>
      <c r="G135" s="58" t="str">
        <f aca="false">IF(OR(E135="",F135=""),"",(F135-E135)*24)</f>
        <v/>
      </c>
      <c r="H135" s="35"/>
      <c r="I135" s="35"/>
    </row>
    <row r="136" customFormat="false" ht="15" hidden="false" customHeight="true" outlineLevel="0" collapsed="false">
      <c r="A136" s="36"/>
      <c r="B136" s="35"/>
      <c r="C136" s="35"/>
      <c r="D136" s="35"/>
      <c r="E136" s="61"/>
      <c r="F136" s="61"/>
      <c r="G136" s="58" t="str">
        <f aca="false">IF(OR(E136="",F136=""),"",(F136-E136)*24)</f>
        <v/>
      </c>
      <c r="H136" s="35"/>
      <c r="I136" s="35"/>
    </row>
    <row r="137" customFormat="false" ht="15" hidden="false" customHeight="true" outlineLevel="0" collapsed="false">
      <c r="A137" s="36"/>
      <c r="B137" s="35"/>
      <c r="C137" s="35"/>
      <c r="D137" s="35"/>
      <c r="E137" s="61"/>
      <c r="F137" s="61"/>
      <c r="G137" s="58" t="str">
        <f aca="false">IF(OR(E137="",F137=""),"",(F137-E137)*24)</f>
        <v/>
      </c>
      <c r="H137" s="35"/>
      <c r="I137" s="35"/>
    </row>
    <row r="138" customFormat="false" ht="15" hidden="false" customHeight="true" outlineLevel="0" collapsed="false">
      <c r="A138" s="36"/>
      <c r="B138" s="35"/>
      <c r="C138" s="35"/>
      <c r="D138" s="35"/>
      <c r="E138" s="61"/>
      <c r="F138" s="61"/>
      <c r="G138" s="58" t="str">
        <f aca="false">IF(OR(E138="",F138=""),"",(F138-E138)*24)</f>
        <v/>
      </c>
      <c r="H138" s="35"/>
      <c r="I138" s="35"/>
    </row>
    <row r="139" customFormat="false" ht="15" hidden="false" customHeight="true" outlineLevel="0" collapsed="false">
      <c r="A139" s="36"/>
      <c r="B139" s="35"/>
      <c r="C139" s="35"/>
      <c r="D139" s="35"/>
      <c r="E139" s="61"/>
      <c r="F139" s="61"/>
      <c r="G139" s="58" t="str">
        <f aca="false">IF(OR(E139="",F139=""),"",(F139-E139)*24)</f>
        <v/>
      </c>
      <c r="H139" s="35"/>
      <c r="I139" s="35"/>
    </row>
    <row r="140" customFormat="false" ht="15" hidden="false" customHeight="true" outlineLevel="0" collapsed="false">
      <c r="A140" s="36"/>
      <c r="B140" s="35"/>
      <c r="C140" s="35"/>
      <c r="D140" s="35"/>
      <c r="E140" s="61"/>
      <c r="F140" s="61"/>
      <c r="G140" s="58" t="str">
        <f aca="false">IF(OR(E140="",F140=""),"",(F140-E140)*24)</f>
        <v/>
      </c>
      <c r="H140" s="35"/>
      <c r="I140" s="35"/>
    </row>
    <row r="141" customFormat="false" ht="15" hidden="false" customHeight="true" outlineLevel="0" collapsed="false">
      <c r="A141" s="36"/>
      <c r="B141" s="35"/>
      <c r="C141" s="35"/>
      <c r="D141" s="35"/>
      <c r="E141" s="61"/>
      <c r="F141" s="61"/>
      <c r="G141" s="58" t="str">
        <f aca="false">IF(OR(E141="",F141=""),"",(F141-E141)*24)</f>
        <v/>
      </c>
      <c r="H141" s="35"/>
      <c r="I141" s="35"/>
    </row>
    <row r="142" customFormat="false" ht="15" hidden="false" customHeight="true" outlineLevel="0" collapsed="false">
      <c r="A142" s="36"/>
      <c r="B142" s="35"/>
      <c r="C142" s="35"/>
      <c r="D142" s="35"/>
      <c r="E142" s="61"/>
      <c r="F142" s="61"/>
      <c r="G142" s="58" t="str">
        <f aca="false">IF(OR(E142="",F142=""),"",(F142-E142)*24)</f>
        <v/>
      </c>
      <c r="H142" s="35"/>
      <c r="I142" s="35"/>
    </row>
    <row r="143" customFormat="false" ht="15" hidden="false" customHeight="true" outlineLevel="0" collapsed="false">
      <c r="A143" s="36"/>
      <c r="B143" s="35"/>
      <c r="C143" s="35"/>
      <c r="D143" s="35"/>
      <c r="E143" s="61"/>
      <c r="F143" s="61"/>
      <c r="G143" s="58" t="str">
        <f aca="false">IF(OR(E143="",F143=""),"",(F143-E143)*24)</f>
        <v/>
      </c>
      <c r="H143" s="35"/>
      <c r="I143" s="35"/>
    </row>
    <row r="144" customFormat="false" ht="15" hidden="false" customHeight="true" outlineLevel="0" collapsed="false">
      <c r="A144" s="36"/>
      <c r="B144" s="35"/>
      <c r="C144" s="35"/>
      <c r="D144" s="35"/>
      <c r="E144" s="61"/>
      <c r="F144" s="61"/>
      <c r="G144" s="58" t="str">
        <f aca="false">IF(OR(E144="",F144=""),"",(F144-E144)*24)</f>
        <v/>
      </c>
      <c r="H144" s="35"/>
      <c r="I144" s="35"/>
    </row>
    <row r="145" customFormat="false" ht="15" hidden="false" customHeight="true" outlineLevel="0" collapsed="false">
      <c r="A145" s="36"/>
      <c r="B145" s="35"/>
      <c r="C145" s="35"/>
      <c r="D145" s="35"/>
      <c r="E145" s="61"/>
      <c r="F145" s="61"/>
      <c r="G145" s="58" t="str">
        <f aca="false">IF(OR(E145="",F145=""),"",(F145-E145)*24)</f>
        <v/>
      </c>
      <c r="H145" s="35"/>
      <c r="I145" s="35"/>
    </row>
    <row r="146" customFormat="false" ht="15" hidden="false" customHeight="true" outlineLevel="0" collapsed="false">
      <c r="A146" s="36"/>
      <c r="B146" s="35"/>
      <c r="C146" s="35"/>
      <c r="D146" s="35"/>
      <c r="E146" s="61"/>
      <c r="F146" s="61"/>
      <c r="G146" s="58" t="str">
        <f aca="false">IF(OR(E146="",F146=""),"",(F146-E146)*24)</f>
        <v/>
      </c>
      <c r="H146" s="35"/>
      <c r="I146" s="35"/>
    </row>
    <row r="147" customFormat="false" ht="15" hidden="false" customHeight="true" outlineLevel="0" collapsed="false">
      <c r="A147" s="36"/>
      <c r="B147" s="35"/>
      <c r="C147" s="35"/>
      <c r="D147" s="35"/>
      <c r="E147" s="61"/>
      <c r="F147" s="61"/>
      <c r="G147" s="58" t="str">
        <f aca="false">IF(OR(E147="",F147=""),"",(F147-E147)*24)</f>
        <v/>
      </c>
      <c r="H147" s="35"/>
      <c r="I147" s="35"/>
    </row>
    <row r="148" customFormat="false" ht="15" hidden="false" customHeight="true" outlineLevel="0" collapsed="false">
      <c r="A148" s="36"/>
      <c r="B148" s="35"/>
      <c r="C148" s="35"/>
      <c r="D148" s="35"/>
      <c r="E148" s="61"/>
      <c r="F148" s="61"/>
      <c r="G148" s="58" t="str">
        <f aca="false">IF(OR(E148="",F148=""),"",(F148-E148)*24)</f>
        <v/>
      </c>
      <c r="H148" s="35"/>
      <c r="I148" s="35"/>
    </row>
    <row r="149" customFormat="false" ht="15" hidden="false" customHeight="true" outlineLevel="0" collapsed="false">
      <c r="A149" s="36"/>
      <c r="B149" s="35"/>
      <c r="C149" s="35"/>
      <c r="D149" s="35"/>
      <c r="E149" s="61"/>
      <c r="F149" s="61"/>
      <c r="G149" s="58" t="str">
        <f aca="false">IF(OR(E149="",F149=""),"",(F149-E149)*24)</f>
        <v/>
      </c>
      <c r="H149" s="35"/>
      <c r="I149" s="35"/>
    </row>
    <row r="150" customFormat="false" ht="15" hidden="false" customHeight="true" outlineLevel="0" collapsed="false">
      <c r="A150" s="36"/>
      <c r="B150" s="35"/>
      <c r="C150" s="35"/>
      <c r="D150" s="35"/>
      <c r="E150" s="61"/>
      <c r="F150" s="61"/>
      <c r="G150" s="58" t="str">
        <f aca="false">IF(OR(E150="",F150=""),"",(F150-E150)*24)</f>
        <v/>
      </c>
      <c r="H150" s="35"/>
      <c r="I150" s="35"/>
    </row>
    <row r="151" customFormat="false" ht="15" hidden="false" customHeight="true" outlineLevel="0" collapsed="false">
      <c r="A151" s="36"/>
      <c r="B151" s="35"/>
      <c r="C151" s="35"/>
      <c r="D151" s="35"/>
      <c r="E151" s="61"/>
      <c r="F151" s="61"/>
      <c r="G151" s="58" t="str">
        <f aca="false">IF(OR(E151="",F151=""),"",(F151-E151)*24)</f>
        <v/>
      </c>
      <c r="H151" s="35"/>
      <c r="I151" s="35"/>
    </row>
    <row r="152" customFormat="false" ht="15" hidden="false" customHeight="true" outlineLevel="0" collapsed="false">
      <c r="A152" s="36"/>
      <c r="B152" s="35"/>
      <c r="C152" s="35"/>
      <c r="D152" s="35"/>
      <c r="E152" s="61"/>
      <c r="F152" s="61"/>
      <c r="G152" s="58" t="str">
        <f aca="false">IF(OR(E152="",F152=""),"",(F152-E152)*24)</f>
        <v/>
      </c>
      <c r="H152" s="35"/>
      <c r="I152" s="35"/>
    </row>
    <row r="153" customFormat="false" ht="15" hidden="false" customHeight="true" outlineLevel="0" collapsed="false">
      <c r="A153" s="36"/>
      <c r="B153" s="35"/>
      <c r="C153" s="35"/>
      <c r="D153" s="35"/>
      <c r="E153" s="61"/>
      <c r="F153" s="61"/>
      <c r="G153" s="58" t="str">
        <f aca="false">IF(OR(E153="",F153=""),"",(F153-E153)*24)</f>
        <v/>
      </c>
      <c r="H153" s="35"/>
      <c r="I153" s="35"/>
    </row>
    <row r="154" customFormat="false" ht="15" hidden="false" customHeight="true" outlineLevel="0" collapsed="false">
      <c r="A154" s="36"/>
      <c r="B154" s="35"/>
      <c r="C154" s="35"/>
      <c r="D154" s="35"/>
      <c r="E154" s="61"/>
      <c r="F154" s="61"/>
      <c r="G154" s="58" t="str">
        <f aca="false">IF(OR(E154="",F154=""),"",(F154-E154)*24)</f>
        <v/>
      </c>
      <c r="H154" s="35"/>
      <c r="I154" s="35"/>
    </row>
    <row r="155" customFormat="false" ht="15" hidden="false" customHeight="true" outlineLevel="0" collapsed="false">
      <c r="A155" s="36"/>
      <c r="B155" s="35"/>
      <c r="C155" s="35"/>
      <c r="D155" s="35"/>
      <c r="E155" s="61"/>
      <c r="F155" s="61"/>
      <c r="G155" s="58" t="str">
        <f aca="false">IF(OR(E155="",F155=""),"",(F155-E155)*24)</f>
        <v/>
      </c>
      <c r="H155" s="35"/>
      <c r="I155" s="35"/>
    </row>
    <row r="156" customFormat="false" ht="15" hidden="false" customHeight="true" outlineLevel="0" collapsed="false">
      <c r="A156" s="36"/>
      <c r="B156" s="35"/>
      <c r="C156" s="35"/>
      <c r="D156" s="35"/>
      <c r="E156" s="61"/>
      <c r="F156" s="61"/>
      <c r="G156" s="58" t="str">
        <f aca="false">IF(OR(E156="",F156=""),"",(F156-E156)*24)</f>
        <v/>
      </c>
      <c r="H156" s="35"/>
      <c r="I156" s="35"/>
    </row>
    <row r="157" customFormat="false" ht="15" hidden="false" customHeight="true" outlineLevel="0" collapsed="false">
      <c r="A157" s="36"/>
      <c r="B157" s="35"/>
      <c r="C157" s="35"/>
      <c r="D157" s="35"/>
      <c r="E157" s="61"/>
      <c r="F157" s="61"/>
      <c r="G157" s="58" t="str">
        <f aca="false">IF(OR(E157="",F157=""),"",(F157-E157)*24)</f>
        <v/>
      </c>
      <c r="H157" s="35"/>
      <c r="I157" s="35"/>
    </row>
    <row r="158" customFormat="false" ht="15" hidden="false" customHeight="true" outlineLevel="0" collapsed="false">
      <c r="A158" s="36"/>
      <c r="B158" s="35"/>
      <c r="C158" s="35"/>
      <c r="D158" s="35"/>
      <c r="E158" s="61"/>
      <c r="F158" s="61"/>
      <c r="G158" s="58" t="str">
        <f aca="false">IF(OR(E158="",F158=""),"",(F158-E158)*24)</f>
        <v/>
      </c>
      <c r="H158" s="35"/>
      <c r="I158" s="35"/>
    </row>
    <row r="159" customFormat="false" ht="15" hidden="false" customHeight="true" outlineLevel="0" collapsed="false">
      <c r="A159" s="36"/>
      <c r="B159" s="35"/>
      <c r="C159" s="35"/>
      <c r="D159" s="35"/>
      <c r="E159" s="61"/>
      <c r="F159" s="61"/>
      <c r="G159" s="58" t="str">
        <f aca="false">IF(OR(E159="",F159=""),"",(F159-E159)*24)</f>
        <v/>
      </c>
      <c r="H159" s="35"/>
      <c r="I159" s="35"/>
    </row>
    <row r="160" customFormat="false" ht="15" hidden="false" customHeight="true" outlineLevel="0" collapsed="false">
      <c r="A160" s="36"/>
      <c r="B160" s="35"/>
      <c r="C160" s="35"/>
      <c r="D160" s="35"/>
      <c r="E160" s="61"/>
      <c r="F160" s="61"/>
      <c r="G160" s="58" t="str">
        <f aca="false">IF(OR(E160="",F160=""),"",(F160-E160)*24)</f>
        <v/>
      </c>
      <c r="H160" s="35"/>
      <c r="I160" s="35"/>
    </row>
    <row r="161" customFormat="false" ht="15" hidden="false" customHeight="true" outlineLevel="0" collapsed="false">
      <c r="A161" s="36"/>
      <c r="B161" s="35"/>
      <c r="C161" s="35"/>
      <c r="D161" s="35"/>
      <c r="E161" s="61"/>
      <c r="F161" s="61"/>
      <c r="G161" s="58" t="str">
        <f aca="false">IF(OR(E161="",F161=""),"",(F161-E161)*24)</f>
        <v/>
      </c>
      <c r="H161" s="35"/>
      <c r="I161" s="35"/>
    </row>
    <row r="162" customFormat="false" ht="15" hidden="false" customHeight="true" outlineLevel="0" collapsed="false">
      <c r="A162" s="36"/>
      <c r="B162" s="35"/>
      <c r="C162" s="35"/>
      <c r="D162" s="35"/>
      <c r="E162" s="61"/>
      <c r="F162" s="61"/>
      <c r="G162" s="58" t="str">
        <f aca="false">IF(OR(E162="",F162=""),"",(F162-E162)*24)</f>
        <v/>
      </c>
      <c r="H162" s="35"/>
      <c r="I162" s="35"/>
    </row>
    <row r="163" customFormat="false" ht="15" hidden="false" customHeight="true" outlineLevel="0" collapsed="false">
      <c r="A163" s="36"/>
      <c r="B163" s="35"/>
      <c r="C163" s="35"/>
      <c r="D163" s="35"/>
      <c r="E163" s="61"/>
      <c r="F163" s="61"/>
      <c r="G163" s="58" t="str">
        <f aca="false">IF(OR(E163="",F163=""),"",(F163-E163)*24)</f>
        <v/>
      </c>
      <c r="H163" s="35"/>
      <c r="I163" s="35"/>
    </row>
    <row r="164" customFormat="false" ht="15" hidden="false" customHeight="true" outlineLevel="0" collapsed="false">
      <c r="A164" s="36"/>
      <c r="B164" s="35"/>
      <c r="C164" s="35"/>
      <c r="D164" s="35"/>
      <c r="E164" s="61"/>
      <c r="F164" s="61"/>
      <c r="G164" s="58" t="str">
        <f aca="false">IF(OR(E164="",F164=""),"",(F164-E164)*24)</f>
        <v/>
      </c>
      <c r="H164" s="35"/>
      <c r="I164" s="35"/>
    </row>
    <row r="165" customFormat="false" ht="15" hidden="false" customHeight="true" outlineLevel="0" collapsed="false">
      <c r="A165" s="36"/>
      <c r="B165" s="35"/>
      <c r="C165" s="35"/>
      <c r="D165" s="35"/>
      <c r="E165" s="61"/>
      <c r="F165" s="61"/>
      <c r="G165" s="58" t="str">
        <f aca="false">IF(OR(E165="",F165=""),"",(F165-E165)*24)</f>
        <v/>
      </c>
      <c r="H165" s="35"/>
      <c r="I165" s="35"/>
    </row>
    <row r="166" customFormat="false" ht="15" hidden="false" customHeight="true" outlineLevel="0" collapsed="false">
      <c r="A166" s="36"/>
      <c r="B166" s="35"/>
      <c r="C166" s="35"/>
      <c r="D166" s="35"/>
      <c r="E166" s="61"/>
      <c r="F166" s="61"/>
      <c r="G166" s="58" t="str">
        <f aca="false">IF(OR(E166="",F166=""),"",(F166-E166)*24)</f>
        <v/>
      </c>
      <c r="H166" s="35"/>
      <c r="I166" s="35"/>
    </row>
    <row r="167" customFormat="false" ht="15" hidden="false" customHeight="true" outlineLevel="0" collapsed="false">
      <c r="A167" s="36"/>
      <c r="B167" s="35"/>
      <c r="C167" s="35"/>
      <c r="D167" s="35"/>
      <c r="E167" s="61"/>
      <c r="F167" s="61"/>
      <c r="G167" s="58" t="str">
        <f aca="false">IF(OR(E167="",F167=""),"",(F167-E167)*24)</f>
        <v/>
      </c>
      <c r="H167" s="35"/>
      <c r="I167" s="35"/>
    </row>
    <row r="168" customFormat="false" ht="15" hidden="false" customHeight="true" outlineLevel="0" collapsed="false">
      <c r="A168" s="36"/>
      <c r="B168" s="35"/>
      <c r="C168" s="35"/>
      <c r="D168" s="35"/>
      <c r="E168" s="61"/>
      <c r="F168" s="61"/>
      <c r="G168" s="58" t="str">
        <f aca="false">IF(OR(E168="",F168=""),"",(F168-E168)*24)</f>
        <v/>
      </c>
      <c r="H168" s="35"/>
      <c r="I168" s="35"/>
    </row>
    <row r="169" customFormat="false" ht="15" hidden="false" customHeight="true" outlineLevel="0" collapsed="false">
      <c r="A169" s="36"/>
      <c r="B169" s="35"/>
      <c r="C169" s="35"/>
      <c r="D169" s="35"/>
      <c r="E169" s="61"/>
      <c r="F169" s="61"/>
      <c r="G169" s="58" t="str">
        <f aca="false">IF(OR(E169="",F169=""),"",(F169-E169)*24)</f>
        <v/>
      </c>
      <c r="H169" s="35"/>
      <c r="I169" s="35"/>
    </row>
    <row r="170" customFormat="false" ht="15" hidden="false" customHeight="true" outlineLevel="0" collapsed="false">
      <c r="A170" s="36"/>
      <c r="B170" s="35"/>
      <c r="C170" s="35"/>
      <c r="D170" s="35"/>
      <c r="E170" s="61"/>
      <c r="F170" s="61"/>
      <c r="G170" s="58" t="str">
        <f aca="false">IF(OR(E170="",F170=""),"",(F170-E170)*24)</f>
        <v/>
      </c>
      <c r="H170" s="35"/>
      <c r="I170" s="35"/>
    </row>
    <row r="171" customFormat="false" ht="15" hidden="false" customHeight="true" outlineLevel="0" collapsed="false">
      <c r="A171" s="36"/>
      <c r="B171" s="35"/>
      <c r="C171" s="35"/>
      <c r="D171" s="35"/>
      <c r="E171" s="61"/>
      <c r="F171" s="61"/>
      <c r="G171" s="58" t="str">
        <f aca="false">IF(OR(E171="",F171=""),"",(F171-E171)*24)</f>
        <v/>
      </c>
      <c r="H171" s="35"/>
      <c r="I171" s="35"/>
    </row>
    <row r="172" customFormat="false" ht="15" hidden="false" customHeight="true" outlineLevel="0" collapsed="false">
      <c r="A172" s="36"/>
      <c r="B172" s="35"/>
      <c r="C172" s="35"/>
      <c r="D172" s="35"/>
      <c r="E172" s="61"/>
      <c r="F172" s="61"/>
      <c r="G172" s="58" t="str">
        <f aca="false">IF(OR(E172="",F172=""),"",(F172-E172)*24)</f>
        <v/>
      </c>
      <c r="H172" s="35"/>
      <c r="I172" s="35"/>
    </row>
    <row r="173" customFormat="false" ht="15" hidden="false" customHeight="true" outlineLevel="0" collapsed="false">
      <c r="A173" s="36"/>
      <c r="B173" s="35"/>
      <c r="C173" s="35"/>
      <c r="D173" s="35"/>
      <c r="E173" s="61"/>
      <c r="F173" s="61"/>
      <c r="G173" s="58" t="str">
        <f aca="false">IF(OR(E173="",F173=""),"",(F173-E173)*24)</f>
        <v/>
      </c>
      <c r="H173" s="35"/>
      <c r="I173" s="35"/>
    </row>
    <row r="174" customFormat="false" ht="15" hidden="false" customHeight="true" outlineLevel="0" collapsed="false">
      <c r="A174" s="36"/>
      <c r="B174" s="35"/>
      <c r="C174" s="35"/>
      <c r="D174" s="35"/>
      <c r="E174" s="61"/>
      <c r="F174" s="61"/>
      <c r="G174" s="58" t="str">
        <f aca="false">IF(OR(E174="",F174=""),"",(F174-E174)*24)</f>
        <v/>
      </c>
      <c r="H174" s="35"/>
      <c r="I174" s="35"/>
    </row>
    <row r="175" customFormat="false" ht="15" hidden="false" customHeight="true" outlineLevel="0" collapsed="false">
      <c r="A175" s="36"/>
      <c r="B175" s="35"/>
      <c r="C175" s="35"/>
      <c r="D175" s="35"/>
      <c r="E175" s="61"/>
      <c r="F175" s="61"/>
      <c r="G175" s="58" t="str">
        <f aca="false">IF(OR(E175="",F175=""),"",(F175-E175)*24)</f>
        <v/>
      </c>
      <c r="H175" s="35"/>
      <c r="I175" s="35"/>
    </row>
    <row r="176" customFormat="false" ht="15" hidden="false" customHeight="true" outlineLevel="0" collapsed="false">
      <c r="A176" s="36"/>
      <c r="B176" s="35"/>
      <c r="C176" s="35"/>
      <c r="D176" s="35"/>
      <c r="E176" s="61"/>
      <c r="F176" s="61"/>
      <c r="G176" s="58" t="str">
        <f aca="false">IF(OR(E176="",F176=""),"",(F176-E176)*24)</f>
        <v/>
      </c>
      <c r="H176" s="35"/>
      <c r="I176" s="35"/>
    </row>
    <row r="177" customFormat="false" ht="15" hidden="false" customHeight="true" outlineLevel="0" collapsed="false">
      <c r="A177" s="36"/>
      <c r="B177" s="35"/>
      <c r="C177" s="35"/>
      <c r="D177" s="35"/>
      <c r="E177" s="61"/>
      <c r="F177" s="61"/>
      <c r="G177" s="58" t="str">
        <f aca="false">IF(OR(E177="",F177=""),"",(F177-E177)*24)</f>
        <v/>
      </c>
      <c r="H177" s="35"/>
      <c r="I177" s="35"/>
    </row>
    <row r="178" customFormat="false" ht="15" hidden="false" customHeight="true" outlineLevel="0" collapsed="false">
      <c r="A178" s="36"/>
      <c r="B178" s="35"/>
      <c r="C178" s="35"/>
      <c r="D178" s="35"/>
      <c r="E178" s="61"/>
      <c r="F178" s="61"/>
      <c r="G178" s="58" t="str">
        <f aca="false">IF(OR(E178="",F178=""),"",(F178-E178)*24)</f>
        <v/>
      </c>
      <c r="H178" s="35"/>
      <c r="I178" s="35"/>
    </row>
    <row r="179" customFormat="false" ht="15" hidden="false" customHeight="true" outlineLevel="0" collapsed="false">
      <c r="A179" s="36"/>
      <c r="B179" s="35"/>
      <c r="C179" s="35"/>
      <c r="D179" s="35"/>
      <c r="E179" s="61"/>
      <c r="F179" s="61"/>
      <c r="G179" s="58" t="str">
        <f aca="false">IF(OR(E179="",F179=""),"",(F179-E179)*24)</f>
        <v/>
      </c>
      <c r="H179" s="35"/>
      <c r="I179" s="35"/>
    </row>
    <row r="180" customFormat="false" ht="15" hidden="false" customHeight="true" outlineLevel="0" collapsed="false">
      <c r="A180" s="36"/>
      <c r="B180" s="35"/>
      <c r="C180" s="35"/>
      <c r="D180" s="35"/>
      <c r="E180" s="61"/>
      <c r="F180" s="61"/>
      <c r="G180" s="58" t="str">
        <f aca="false">IF(OR(E180="",F180=""),"",(F180-E180)*24)</f>
        <v/>
      </c>
      <c r="H180" s="35"/>
      <c r="I180" s="35"/>
    </row>
    <row r="181" customFormat="false" ht="15" hidden="false" customHeight="true" outlineLevel="0" collapsed="false">
      <c r="A181" s="36"/>
      <c r="B181" s="35"/>
      <c r="C181" s="35"/>
      <c r="D181" s="35"/>
      <c r="E181" s="61"/>
      <c r="F181" s="61"/>
      <c r="G181" s="58" t="str">
        <f aca="false">IF(OR(E181="",F181=""),"",(F181-E181)*24)</f>
        <v/>
      </c>
      <c r="H181" s="35"/>
      <c r="I181" s="35"/>
    </row>
    <row r="182" customFormat="false" ht="15" hidden="false" customHeight="true" outlineLevel="0" collapsed="false">
      <c r="A182" s="36"/>
      <c r="B182" s="35"/>
      <c r="C182" s="35"/>
      <c r="D182" s="35"/>
      <c r="E182" s="61"/>
      <c r="F182" s="61"/>
      <c r="G182" s="58" t="str">
        <f aca="false">IF(OR(E182="",F182=""),"",(F182-E182)*24)</f>
        <v/>
      </c>
      <c r="H182" s="35"/>
      <c r="I182" s="35"/>
    </row>
    <row r="183" customFormat="false" ht="15" hidden="false" customHeight="true" outlineLevel="0" collapsed="false">
      <c r="A183" s="36"/>
      <c r="B183" s="35"/>
      <c r="C183" s="35"/>
      <c r="D183" s="35"/>
      <c r="E183" s="61"/>
      <c r="F183" s="61"/>
      <c r="G183" s="58" t="str">
        <f aca="false">IF(OR(E183="",F183=""),"",(F183-E183)*24)</f>
        <v/>
      </c>
      <c r="H183" s="35"/>
      <c r="I183" s="35"/>
    </row>
    <row r="184" customFormat="false" ht="15" hidden="false" customHeight="true" outlineLevel="0" collapsed="false">
      <c r="A184" s="36"/>
      <c r="B184" s="35"/>
      <c r="C184" s="35"/>
      <c r="D184" s="35"/>
      <c r="E184" s="61"/>
      <c r="F184" s="61"/>
      <c r="G184" s="58" t="str">
        <f aca="false">IF(OR(E184="",F184=""),"",(F184-E184)*24)</f>
        <v/>
      </c>
      <c r="H184" s="35"/>
      <c r="I184" s="35"/>
    </row>
    <row r="185" customFormat="false" ht="15" hidden="false" customHeight="true" outlineLevel="0" collapsed="false">
      <c r="A185" s="36"/>
      <c r="B185" s="35"/>
      <c r="C185" s="35"/>
      <c r="D185" s="35"/>
      <c r="E185" s="61"/>
      <c r="F185" s="61"/>
      <c r="G185" s="58" t="str">
        <f aca="false">IF(OR(E185="",F185=""),"",(F185-E185)*24)</f>
        <v/>
      </c>
      <c r="H185" s="35"/>
      <c r="I185" s="35"/>
    </row>
    <row r="186" customFormat="false" ht="15" hidden="false" customHeight="true" outlineLevel="0" collapsed="false">
      <c r="A186" s="36"/>
      <c r="B186" s="35"/>
      <c r="C186" s="35"/>
      <c r="D186" s="35"/>
      <c r="E186" s="61"/>
      <c r="F186" s="61"/>
      <c r="G186" s="58" t="str">
        <f aca="false">IF(OR(E186="",F186=""),"",(F186-E186)*24)</f>
        <v/>
      </c>
      <c r="H186" s="35"/>
      <c r="I186" s="35"/>
    </row>
    <row r="187" customFormat="false" ht="15" hidden="false" customHeight="true" outlineLevel="0" collapsed="false">
      <c r="A187" s="36"/>
      <c r="B187" s="35"/>
      <c r="C187" s="35"/>
      <c r="D187" s="35"/>
      <c r="E187" s="61"/>
      <c r="F187" s="61"/>
      <c r="G187" s="58" t="str">
        <f aca="false">IF(OR(E187="",F187=""),"",(F187-E187)*24)</f>
        <v/>
      </c>
      <c r="H187" s="35"/>
      <c r="I187" s="35"/>
    </row>
    <row r="188" customFormat="false" ht="15" hidden="false" customHeight="true" outlineLevel="0" collapsed="false">
      <c r="A188" s="36"/>
      <c r="B188" s="35"/>
      <c r="C188" s="35"/>
      <c r="D188" s="35"/>
      <c r="E188" s="61"/>
      <c r="F188" s="61"/>
      <c r="G188" s="58" t="str">
        <f aca="false">IF(OR(E188="",F188=""),"",(F188-E188)*24)</f>
        <v/>
      </c>
      <c r="H188" s="35"/>
      <c r="I188" s="35"/>
    </row>
    <row r="189" customFormat="false" ht="15" hidden="false" customHeight="true" outlineLevel="0" collapsed="false">
      <c r="A189" s="36"/>
      <c r="B189" s="35"/>
      <c r="C189" s="35"/>
      <c r="D189" s="35"/>
      <c r="E189" s="61"/>
      <c r="F189" s="61"/>
      <c r="G189" s="58" t="str">
        <f aca="false">IF(OR(E189="",F189=""),"",(F189-E189)*24)</f>
        <v/>
      </c>
      <c r="H189" s="35"/>
      <c r="I189" s="35"/>
    </row>
    <row r="190" customFormat="false" ht="15" hidden="false" customHeight="true" outlineLevel="0" collapsed="false">
      <c r="A190" s="36"/>
      <c r="B190" s="35"/>
      <c r="C190" s="35"/>
      <c r="D190" s="35"/>
      <c r="E190" s="61"/>
      <c r="F190" s="61"/>
      <c r="G190" s="58" t="str">
        <f aca="false">IF(OR(E190="",F190=""),"",(F190-E190)*24)</f>
        <v/>
      </c>
      <c r="H190" s="35"/>
      <c r="I190" s="35"/>
    </row>
    <row r="191" customFormat="false" ht="15" hidden="false" customHeight="true" outlineLevel="0" collapsed="false">
      <c r="A191" s="36"/>
      <c r="B191" s="35"/>
      <c r="C191" s="35"/>
      <c r="D191" s="35"/>
      <c r="E191" s="61"/>
      <c r="F191" s="61"/>
      <c r="G191" s="58" t="str">
        <f aca="false">IF(OR(E191="",F191=""),"",(F191-E191)*24)</f>
        <v/>
      </c>
      <c r="H191" s="35"/>
      <c r="I191" s="35"/>
    </row>
    <row r="192" customFormat="false" ht="15" hidden="false" customHeight="true" outlineLevel="0" collapsed="false">
      <c r="A192" s="36"/>
      <c r="B192" s="35"/>
      <c r="C192" s="35"/>
      <c r="D192" s="35"/>
      <c r="E192" s="61"/>
      <c r="F192" s="61"/>
      <c r="G192" s="58" t="str">
        <f aca="false">IF(OR(E192="",F192=""),"",(F192-E192)*24)</f>
        <v/>
      </c>
      <c r="H192" s="35"/>
      <c r="I192" s="35"/>
    </row>
    <row r="193" customFormat="false" ht="15" hidden="false" customHeight="true" outlineLevel="0" collapsed="false">
      <c r="A193" s="36"/>
      <c r="B193" s="35"/>
      <c r="C193" s="35"/>
      <c r="D193" s="35"/>
      <c r="E193" s="61"/>
      <c r="F193" s="61"/>
      <c r="G193" s="58" t="str">
        <f aca="false">IF(OR(E193="",F193=""),"",(F193-E193)*24)</f>
        <v/>
      </c>
      <c r="H193" s="35"/>
      <c r="I193" s="35"/>
    </row>
    <row r="194" customFormat="false" ht="15" hidden="false" customHeight="true" outlineLevel="0" collapsed="false">
      <c r="A194" s="36"/>
      <c r="B194" s="35"/>
      <c r="C194" s="35"/>
      <c r="D194" s="35"/>
      <c r="E194" s="61"/>
      <c r="F194" s="61"/>
      <c r="G194" s="58" t="str">
        <f aca="false">IF(OR(E194="",F194=""),"",(F194-E194)*24)</f>
        <v/>
      </c>
      <c r="H194" s="35"/>
      <c r="I194" s="35"/>
    </row>
    <row r="195" customFormat="false" ht="15" hidden="false" customHeight="true" outlineLevel="0" collapsed="false">
      <c r="A195" s="36"/>
      <c r="B195" s="35"/>
      <c r="C195" s="35"/>
      <c r="D195" s="35"/>
      <c r="E195" s="61"/>
      <c r="F195" s="61"/>
      <c r="G195" s="58" t="str">
        <f aca="false">IF(OR(E195="",F195=""),"",(F195-E195)*24)</f>
        <v/>
      </c>
      <c r="H195" s="35"/>
      <c r="I195" s="35"/>
    </row>
    <row r="196" customFormat="false" ht="15" hidden="false" customHeight="true" outlineLevel="0" collapsed="false">
      <c r="A196" s="36"/>
      <c r="B196" s="35"/>
      <c r="C196" s="35"/>
      <c r="D196" s="35"/>
      <c r="E196" s="61"/>
      <c r="F196" s="61"/>
      <c r="G196" s="58" t="str">
        <f aca="false">IF(OR(E196="",F196=""),"",(F196-E196)*24)</f>
        <v/>
      </c>
      <c r="H196" s="35"/>
      <c r="I196" s="35"/>
    </row>
    <row r="197" customFormat="false" ht="15" hidden="false" customHeight="true" outlineLevel="0" collapsed="false">
      <c r="A197" s="36"/>
      <c r="B197" s="35"/>
      <c r="C197" s="35"/>
      <c r="D197" s="35"/>
      <c r="E197" s="61"/>
      <c r="F197" s="61"/>
      <c r="G197" s="58" t="str">
        <f aca="false">IF(OR(E197="",F197=""),"",(F197-E197)*24)</f>
        <v/>
      </c>
      <c r="H197" s="35"/>
      <c r="I197" s="35"/>
    </row>
    <row r="198" customFormat="false" ht="15" hidden="false" customHeight="true" outlineLevel="0" collapsed="false">
      <c r="A198" s="36"/>
      <c r="B198" s="35"/>
      <c r="C198" s="35"/>
      <c r="D198" s="35"/>
      <c r="E198" s="61"/>
      <c r="F198" s="61"/>
      <c r="G198" s="58" t="str">
        <f aca="false">IF(OR(E198="",F198=""),"",(F198-E198)*24)</f>
        <v/>
      </c>
      <c r="H198" s="35"/>
      <c r="I198" s="35"/>
    </row>
    <row r="199" customFormat="false" ht="15" hidden="false" customHeight="true" outlineLevel="0" collapsed="false">
      <c r="A199" s="36"/>
      <c r="B199" s="35"/>
      <c r="C199" s="35"/>
      <c r="D199" s="35"/>
      <c r="E199" s="61"/>
      <c r="F199" s="61"/>
      <c r="G199" s="58" t="str">
        <f aca="false">IF(OR(E199="",F199=""),"",(F199-E199)*24)</f>
        <v/>
      </c>
      <c r="H199" s="35"/>
      <c r="I199" s="35"/>
    </row>
    <row r="200" customFormat="false" ht="15" hidden="false" customHeight="true" outlineLevel="0" collapsed="false">
      <c r="A200" s="36"/>
      <c r="B200" s="35"/>
      <c r="C200" s="35"/>
      <c r="D200" s="35"/>
      <c r="E200" s="61"/>
      <c r="F200" s="61"/>
      <c r="G200" s="58" t="str">
        <f aca="false">IF(OR(E200="",F200=""),"",(F200-E200)*24)</f>
        <v/>
      </c>
      <c r="H200" s="35"/>
      <c r="I200" s="35"/>
    </row>
    <row r="201" customFormat="false" ht="15" hidden="false" customHeight="true" outlineLevel="0" collapsed="false">
      <c r="A201" s="36"/>
      <c r="B201" s="35"/>
      <c r="C201" s="35"/>
      <c r="D201" s="35"/>
      <c r="E201" s="61"/>
      <c r="F201" s="61"/>
      <c r="G201" s="58" t="str">
        <f aca="false">IF(OR(E201="",F201=""),"",(F201-E201)*24)</f>
        <v/>
      </c>
      <c r="H201" s="35"/>
      <c r="I201" s="35"/>
    </row>
    <row r="202" customFormat="false" ht="15" hidden="false" customHeight="true" outlineLevel="0" collapsed="false">
      <c r="A202" s="36"/>
      <c r="B202" s="35"/>
      <c r="C202" s="35"/>
      <c r="D202" s="35"/>
      <c r="E202" s="61"/>
      <c r="F202" s="61"/>
      <c r="G202" s="58" t="str">
        <f aca="false">IF(OR(E202="",F202=""),"",(F202-E202)*24)</f>
        <v/>
      </c>
      <c r="H202" s="35"/>
      <c r="I202" s="35"/>
    </row>
    <row r="203" customFormat="false" ht="15" hidden="false" customHeight="true" outlineLevel="0" collapsed="false">
      <c r="A203" s="36"/>
      <c r="B203" s="35"/>
      <c r="C203" s="35"/>
      <c r="D203" s="35"/>
      <c r="E203" s="61"/>
      <c r="F203" s="61"/>
      <c r="G203" s="58" t="str">
        <f aca="false">IF(OR(E203="",F203=""),"",(F203-E203)*24)</f>
        <v/>
      </c>
      <c r="H203" s="35"/>
      <c r="I203" s="35"/>
    </row>
    <row r="204" customFormat="false" ht="15" hidden="false" customHeight="true" outlineLevel="0" collapsed="false">
      <c r="A204" s="36"/>
      <c r="B204" s="35"/>
      <c r="C204" s="35"/>
      <c r="D204" s="35"/>
      <c r="E204" s="61"/>
      <c r="F204" s="61"/>
      <c r="G204" s="58" t="str">
        <f aca="false">IF(OR(E204="",F204=""),"",(F204-E204)*24)</f>
        <v/>
      </c>
      <c r="H204" s="35"/>
      <c r="I204" s="35"/>
    </row>
    <row r="205" customFormat="false" ht="15" hidden="false" customHeight="true" outlineLevel="0" collapsed="false">
      <c r="A205" s="36"/>
      <c r="B205" s="35"/>
      <c r="C205" s="35"/>
      <c r="D205" s="35"/>
      <c r="E205" s="61"/>
      <c r="F205" s="61"/>
      <c r="G205" s="58" t="str">
        <f aca="false">IF(OR(E205="",F205=""),"",(F205-E205)*24)</f>
        <v/>
      </c>
      <c r="H205" s="35"/>
      <c r="I205" s="35"/>
    </row>
    <row r="206" customFormat="false" ht="15" hidden="false" customHeight="true" outlineLevel="0" collapsed="false">
      <c r="A206" s="36"/>
      <c r="B206" s="35"/>
      <c r="C206" s="35"/>
      <c r="D206" s="35"/>
      <c r="E206" s="61"/>
      <c r="F206" s="61"/>
      <c r="G206" s="58" t="str">
        <f aca="false">IF(OR(E206="",F206=""),"",(F206-E206)*24)</f>
        <v/>
      </c>
      <c r="H206" s="35"/>
      <c r="I206" s="35"/>
    </row>
    <row r="207" customFormat="false" ht="15" hidden="false" customHeight="true" outlineLevel="0" collapsed="false">
      <c r="A207" s="36"/>
      <c r="B207" s="35"/>
      <c r="C207" s="35"/>
      <c r="D207" s="35"/>
      <c r="E207" s="61"/>
      <c r="F207" s="61"/>
      <c r="G207" s="58" t="str">
        <f aca="false">IF(OR(E207="",F207=""),"",(F207-E207)*24)</f>
        <v/>
      </c>
      <c r="H207" s="35"/>
      <c r="I207" s="35"/>
    </row>
    <row r="208" customFormat="false" ht="15" hidden="false" customHeight="true" outlineLevel="0" collapsed="false">
      <c r="A208" s="36"/>
      <c r="B208" s="35"/>
      <c r="C208" s="35"/>
      <c r="D208" s="35"/>
      <c r="E208" s="61"/>
      <c r="F208" s="61"/>
      <c r="G208" s="58" t="str">
        <f aca="false">IF(OR(E208="",F208=""),"",(F208-E208)*24)</f>
        <v/>
      </c>
      <c r="H208" s="35"/>
      <c r="I208" s="35"/>
    </row>
    <row r="209" customFormat="false" ht="15" hidden="false" customHeight="true" outlineLevel="0" collapsed="false">
      <c r="A209" s="36"/>
      <c r="B209" s="35"/>
      <c r="C209" s="35"/>
      <c r="D209" s="35"/>
      <c r="E209" s="61"/>
      <c r="F209" s="61"/>
      <c r="G209" s="58" t="str">
        <f aca="false">IF(OR(E209="",F209=""),"",(F209-E209)*24)</f>
        <v/>
      </c>
      <c r="H209" s="35"/>
      <c r="I209" s="35"/>
    </row>
    <row r="210" customFormat="false" ht="15" hidden="false" customHeight="true" outlineLevel="0" collapsed="false">
      <c r="A210" s="36"/>
      <c r="B210" s="35"/>
      <c r="C210" s="35"/>
      <c r="D210" s="35"/>
      <c r="E210" s="61"/>
      <c r="F210" s="61"/>
      <c r="G210" s="58" t="str">
        <f aca="false">IF(OR(E210="",F210=""),"",(F210-E210)*24)</f>
        <v/>
      </c>
      <c r="H210" s="35"/>
      <c r="I210" s="35"/>
    </row>
    <row r="211" customFormat="false" ht="15" hidden="false" customHeight="true" outlineLevel="0" collapsed="false">
      <c r="A211" s="36"/>
      <c r="B211" s="35"/>
      <c r="C211" s="35"/>
      <c r="D211" s="35"/>
      <c r="E211" s="61"/>
      <c r="F211" s="61"/>
      <c r="G211" s="58" t="str">
        <f aca="false">IF(OR(E211="",F211=""),"",(F211-E211)*24)</f>
        <v/>
      </c>
      <c r="H211" s="35"/>
      <c r="I211" s="35"/>
    </row>
    <row r="212" customFormat="false" ht="15" hidden="false" customHeight="true" outlineLevel="0" collapsed="false">
      <c r="A212" s="36"/>
      <c r="B212" s="35"/>
      <c r="C212" s="35"/>
      <c r="D212" s="35"/>
      <c r="E212" s="61"/>
      <c r="F212" s="61"/>
      <c r="G212" s="58" t="str">
        <f aca="false">IF(OR(E212="",F212=""),"",(F212-E212)*24)</f>
        <v/>
      </c>
      <c r="H212" s="35"/>
      <c r="I212" s="35"/>
    </row>
    <row r="213" customFormat="false" ht="15" hidden="false" customHeight="true" outlineLevel="0" collapsed="false">
      <c r="A213" s="36"/>
      <c r="B213" s="35"/>
      <c r="C213" s="35"/>
      <c r="D213" s="35"/>
      <c r="E213" s="61"/>
      <c r="F213" s="61"/>
      <c r="G213" s="58" t="str">
        <f aca="false">IF(OR(E213="",F213=""),"",(F213-E213)*24)</f>
        <v/>
      </c>
      <c r="H213" s="35"/>
      <c r="I213" s="35"/>
    </row>
    <row r="214" customFormat="false" ht="15" hidden="false" customHeight="true" outlineLevel="0" collapsed="false">
      <c r="A214" s="36"/>
      <c r="B214" s="35"/>
      <c r="C214" s="35"/>
      <c r="D214" s="35"/>
      <c r="E214" s="61"/>
      <c r="F214" s="61"/>
      <c r="G214" s="58" t="str">
        <f aca="false">IF(OR(E214="",F214=""),"",(F214-E214)*24)</f>
        <v/>
      </c>
      <c r="H214" s="35"/>
      <c r="I214" s="35"/>
    </row>
    <row r="215" customFormat="false" ht="15" hidden="false" customHeight="true" outlineLevel="0" collapsed="false">
      <c r="A215" s="36"/>
      <c r="B215" s="35"/>
      <c r="C215" s="35"/>
      <c r="D215" s="35"/>
      <c r="E215" s="61"/>
      <c r="F215" s="61"/>
      <c r="G215" s="58" t="str">
        <f aca="false">IF(OR(E215="",F215=""),"",(F215-E215)*24)</f>
        <v/>
      </c>
      <c r="H215" s="35"/>
      <c r="I215" s="35"/>
    </row>
    <row r="216" customFormat="false" ht="15" hidden="false" customHeight="true" outlineLevel="0" collapsed="false">
      <c r="A216" s="36"/>
      <c r="B216" s="35"/>
      <c r="C216" s="35"/>
      <c r="D216" s="35"/>
      <c r="E216" s="61"/>
      <c r="F216" s="61"/>
      <c r="G216" s="58" t="str">
        <f aca="false">IF(OR(E216="",F216=""),"",(F216-E216)*24)</f>
        <v/>
      </c>
      <c r="H216" s="35"/>
      <c r="I216" s="35"/>
    </row>
    <row r="217" customFormat="false" ht="15" hidden="false" customHeight="true" outlineLevel="0" collapsed="false">
      <c r="A217" s="36"/>
      <c r="B217" s="35"/>
      <c r="C217" s="35"/>
      <c r="D217" s="35"/>
      <c r="E217" s="61"/>
      <c r="F217" s="61"/>
      <c r="G217" s="58" t="str">
        <f aca="false">IF(OR(E217="",F217=""),"",(F217-E217)*24)</f>
        <v/>
      </c>
      <c r="H217" s="35"/>
      <c r="I217" s="35"/>
    </row>
    <row r="218" customFormat="false" ht="15" hidden="false" customHeight="true" outlineLevel="0" collapsed="false">
      <c r="A218" s="36"/>
      <c r="B218" s="35"/>
      <c r="C218" s="35"/>
      <c r="D218" s="35"/>
      <c r="E218" s="61"/>
      <c r="F218" s="61"/>
      <c r="G218" s="58" t="str">
        <f aca="false">IF(OR(E218="",F218=""),"",(F218-E218)*24)</f>
        <v/>
      </c>
      <c r="H218" s="35"/>
      <c r="I218" s="35"/>
    </row>
    <row r="219" customFormat="false" ht="15" hidden="false" customHeight="true" outlineLevel="0" collapsed="false">
      <c r="A219" s="36"/>
      <c r="B219" s="35"/>
      <c r="C219" s="35"/>
      <c r="D219" s="35"/>
      <c r="E219" s="61"/>
      <c r="F219" s="61"/>
      <c r="G219" s="58" t="str">
        <f aca="false">IF(OR(E219="",F219=""),"",(F219-E219)*24)</f>
        <v/>
      </c>
      <c r="H219" s="35"/>
      <c r="I219" s="35"/>
    </row>
    <row r="220" customFormat="false" ht="15" hidden="false" customHeight="true" outlineLevel="0" collapsed="false">
      <c r="A220" s="36"/>
      <c r="B220" s="35"/>
      <c r="C220" s="35"/>
      <c r="D220" s="35"/>
      <c r="E220" s="61"/>
      <c r="F220" s="61"/>
      <c r="G220" s="58" t="str">
        <f aca="false">IF(OR(E220="",F220=""),"",(F220-E220)*24)</f>
        <v/>
      </c>
      <c r="H220" s="35"/>
      <c r="I220" s="35"/>
    </row>
    <row r="221" customFormat="false" ht="15" hidden="false" customHeight="true" outlineLevel="0" collapsed="false">
      <c r="A221" s="36"/>
      <c r="B221" s="35"/>
      <c r="C221" s="35"/>
      <c r="D221" s="35"/>
      <c r="E221" s="61"/>
      <c r="F221" s="61"/>
      <c r="G221" s="58" t="str">
        <f aca="false">IF(OR(E221="",F221=""),"",(F221-E221)*24)</f>
        <v/>
      </c>
      <c r="H221" s="35"/>
      <c r="I221" s="35"/>
    </row>
    <row r="222" customFormat="false" ht="15" hidden="false" customHeight="true" outlineLevel="0" collapsed="false">
      <c r="A222" s="36"/>
      <c r="B222" s="35"/>
      <c r="C222" s="35"/>
      <c r="D222" s="35"/>
      <c r="E222" s="61"/>
      <c r="F222" s="61"/>
      <c r="G222" s="58" t="str">
        <f aca="false">IF(OR(E222="",F222=""),"",(F222-E222)*24)</f>
        <v/>
      </c>
      <c r="H222" s="35"/>
      <c r="I222" s="35"/>
    </row>
    <row r="223" customFormat="false" ht="15" hidden="false" customHeight="true" outlineLevel="0" collapsed="false">
      <c r="A223" s="36"/>
      <c r="B223" s="35"/>
      <c r="C223" s="35"/>
      <c r="D223" s="35"/>
      <c r="E223" s="61"/>
      <c r="F223" s="61"/>
      <c r="G223" s="58" t="str">
        <f aca="false">IF(OR(E223="",F223=""),"",(F223-E223)*24)</f>
        <v/>
      </c>
      <c r="H223" s="35"/>
      <c r="I223" s="35"/>
    </row>
    <row r="224" customFormat="false" ht="15" hidden="false" customHeight="true" outlineLevel="0" collapsed="false">
      <c r="A224" s="36"/>
      <c r="B224" s="35"/>
      <c r="C224" s="35"/>
      <c r="D224" s="35"/>
      <c r="E224" s="61"/>
      <c r="F224" s="61"/>
      <c r="G224" s="58" t="str">
        <f aca="false">IF(OR(E224="",F224=""),"",(F224-E224)*24)</f>
        <v/>
      </c>
      <c r="H224" s="35"/>
      <c r="I224" s="35"/>
    </row>
    <row r="225" customFormat="false" ht="15" hidden="false" customHeight="true" outlineLevel="0" collapsed="false">
      <c r="A225" s="36"/>
      <c r="B225" s="35"/>
      <c r="C225" s="35"/>
      <c r="D225" s="35"/>
      <c r="E225" s="61"/>
      <c r="F225" s="61"/>
      <c r="G225" s="58" t="str">
        <f aca="false">IF(OR(E225="",F225=""),"",(F225-E225)*24)</f>
        <v/>
      </c>
      <c r="H225" s="35"/>
      <c r="I225" s="35"/>
    </row>
    <row r="226" customFormat="false" ht="15" hidden="false" customHeight="true" outlineLevel="0" collapsed="false">
      <c r="A226" s="36"/>
      <c r="B226" s="35"/>
      <c r="C226" s="35"/>
      <c r="D226" s="35"/>
      <c r="E226" s="61"/>
      <c r="F226" s="61"/>
      <c r="G226" s="58" t="str">
        <f aca="false">IF(OR(E226="",F226=""),"",(F226-E226)*24)</f>
        <v/>
      </c>
      <c r="H226" s="35"/>
      <c r="I226" s="35"/>
    </row>
    <row r="227" customFormat="false" ht="15" hidden="false" customHeight="true" outlineLevel="0" collapsed="false">
      <c r="A227" s="36"/>
      <c r="B227" s="35"/>
      <c r="C227" s="35"/>
      <c r="D227" s="35"/>
      <c r="E227" s="61"/>
      <c r="F227" s="61"/>
      <c r="G227" s="58" t="str">
        <f aca="false">IF(OR(E227="",F227=""),"",(F227-E227)*24)</f>
        <v/>
      </c>
      <c r="H227" s="35"/>
      <c r="I227" s="35"/>
    </row>
    <row r="228" customFormat="false" ht="15" hidden="false" customHeight="true" outlineLevel="0" collapsed="false">
      <c r="A228" s="36"/>
      <c r="B228" s="35"/>
      <c r="C228" s="35"/>
      <c r="D228" s="35"/>
      <c r="E228" s="61"/>
      <c r="F228" s="61"/>
      <c r="G228" s="58" t="str">
        <f aca="false">IF(OR(E228="",F228=""),"",(F228-E228)*24)</f>
        <v/>
      </c>
      <c r="H228" s="35"/>
      <c r="I228" s="35"/>
    </row>
    <row r="229" customFormat="false" ht="15" hidden="false" customHeight="true" outlineLevel="0" collapsed="false">
      <c r="A229" s="36"/>
      <c r="B229" s="35"/>
      <c r="C229" s="35"/>
      <c r="D229" s="35"/>
      <c r="E229" s="61"/>
      <c r="F229" s="61"/>
      <c r="G229" s="58" t="str">
        <f aca="false">IF(OR(E229="",F229=""),"",(F229-E229)*24)</f>
        <v/>
      </c>
      <c r="H229" s="35"/>
      <c r="I229" s="35"/>
    </row>
    <row r="230" customFormat="false" ht="15" hidden="false" customHeight="true" outlineLevel="0" collapsed="false">
      <c r="A230" s="36"/>
      <c r="B230" s="35"/>
      <c r="C230" s="35"/>
      <c r="D230" s="35"/>
      <c r="E230" s="61"/>
      <c r="F230" s="61"/>
      <c r="G230" s="58" t="str">
        <f aca="false">IF(OR(E230="",F230=""),"",(F230-E230)*24)</f>
        <v/>
      </c>
      <c r="H230" s="35"/>
      <c r="I230" s="35"/>
    </row>
    <row r="231" customFormat="false" ht="15" hidden="false" customHeight="true" outlineLevel="0" collapsed="false">
      <c r="A231" s="36"/>
      <c r="B231" s="35"/>
      <c r="C231" s="35"/>
      <c r="D231" s="35"/>
      <c r="E231" s="61"/>
      <c r="F231" s="61"/>
      <c r="G231" s="58" t="str">
        <f aca="false">IF(OR(E231="",F231=""),"",(F231-E231)*24)</f>
        <v/>
      </c>
      <c r="H231" s="35"/>
      <c r="I231" s="35"/>
    </row>
    <row r="232" customFormat="false" ht="15" hidden="false" customHeight="true" outlineLevel="0" collapsed="false">
      <c r="A232" s="36"/>
      <c r="B232" s="35"/>
      <c r="C232" s="35"/>
      <c r="D232" s="35"/>
      <c r="E232" s="61"/>
      <c r="F232" s="61"/>
      <c r="G232" s="58" t="str">
        <f aca="false">IF(OR(E232="",F232=""),"",(F232-E232)*24)</f>
        <v/>
      </c>
      <c r="H232" s="35"/>
      <c r="I232" s="35"/>
    </row>
    <row r="233" customFormat="false" ht="15" hidden="false" customHeight="true" outlineLevel="0" collapsed="false">
      <c r="A233" s="36"/>
      <c r="B233" s="35"/>
      <c r="C233" s="35"/>
      <c r="D233" s="35"/>
      <c r="E233" s="61"/>
      <c r="F233" s="61"/>
      <c r="G233" s="58" t="str">
        <f aca="false">IF(OR(E233="",F233=""),"",(F233-E233)*24)</f>
        <v/>
      </c>
      <c r="H233" s="35"/>
      <c r="I233" s="35"/>
    </row>
    <row r="234" customFormat="false" ht="15" hidden="false" customHeight="true" outlineLevel="0" collapsed="false">
      <c r="A234" s="36"/>
      <c r="B234" s="35"/>
      <c r="C234" s="35"/>
      <c r="D234" s="35"/>
      <c r="E234" s="61"/>
      <c r="F234" s="61"/>
      <c r="G234" s="58" t="str">
        <f aca="false">IF(OR(E234="",F234=""),"",(F234-E234)*24)</f>
        <v/>
      </c>
      <c r="H234" s="35"/>
      <c r="I234" s="35"/>
    </row>
    <row r="235" customFormat="false" ht="15" hidden="false" customHeight="true" outlineLevel="0" collapsed="false">
      <c r="A235" s="36"/>
      <c r="B235" s="35"/>
      <c r="C235" s="35"/>
      <c r="D235" s="35"/>
      <c r="E235" s="61"/>
      <c r="F235" s="61"/>
      <c r="G235" s="58" t="str">
        <f aca="false">IF(OR(E235="",F235=""),"",(F235-E235)*24)</f>
        <v/>
      </c>
      <c r="H235" s="35"/>
      <c r="I235" s="35"/>
    </row>
    <row r="236" customFormat="false" ht="15" hidden="false" customHeight="true" outlineLevel="0" collapsed="false">
      <c r="A236" s="36"/>
      <c r="B236" s="35"/>
      <c r="C236" s="35"/>
      <c r="D236" s="35"/>
      <c r="E236" s="61"/>
      <c r="F236" s="61"/>
      <c r="G236" s="58" t="str">
        <f aca="false">IF(OR(E236="",F236=""),"",(F236-E236)*24)</f>
        <v/>
      </c>
      <c r="H236" s="35"/>
      <c r="I236" s="35"/>
    </row>
    <row r="237" customFormat="false" ht="15" hidden="false" customHeight="true" outlineLevel="0" collapsed="false">
      <c r="A237" s="36"/>
      <c r="B237" s="35"/>
      <c r="C237" s="35"/>
      <c r="D237" s="35"/>
      <c r="E237" s="61"/>
      <c r="F237" s="61"/>
      <c r="G237" s="58" t="str">
        <f aca="false">IF(OR(E237="",F237=""),"",(F237-E237)*24)</f>
        <v/>
      </c>
      <c r="H237" s="35"/>
      <c r="I237" s="35"/>
    </row>
    <row r="238" customFormat="false" ht="15" hidden="false" customHeight="true" outlineLevel="0" collapsed="false">
      <c r="A238" s="36"/>
      <c r="B238" s="35"/>
      <c r="C238" s="35"/>
      <c r="D238" s="35"/>
      <c r="E238" s="61"/>
      <c r="F238" s="61"/>
      <c r="G238" s="58" t="str">
        <f aca="false">IF(OR(E238="",F238=""),"",(F238-E238)*24)</f>
        <v/>
      </c>
      <c r="H238" s="35"/>
      <c r="I238" s="35"/>
    </row>
    <row r="239" customFormat="false" ht="15" hidden="false" customHeight="true" outlineLevel="0" collapsed="false">
      <c r="A239" s="36"/>
      <c r="B239" s="35"/>
      <c r="C239" s="35"/>
      <c r="D239" s="35"/>
      <c r="E239" s="61"/>
      <c r="F239" s="61"/>
      <c r="G239" s="58" t="str">
        <f aca="false">IF(OR(E239="",F239=""),"",(F239-E239)*24)</f>
        <v/>
      </c>
      <c r="H239" s="35"/>
      <c r="I239" s="35"/>
    </row>
    <row r="240" customFormat="false" ht="15" hidden="false" customHeight="true" outlineLevel="0" collapsed="false">
      <c r="A240" s="36"/>
      <c r="B240" s="35"/>
      <c r="C240" s="35"/>
      <c r="D240" s="35"/>
      <c r="E240" s="61"/>
      <c r="F240" s="61"/>
      <c r="G240" s="58" t="str">
        <f aca="false">IF(OR(E240="",F240=""),"",(F240-E240)*24)</f>
        <v/>
      </c>
      <c r="H240" s="35"/>
      <c r="I240" s="35"/>
    </row>
    <row r="241" customFormat="false" ht="15" hidden="false" customHeight="true" outlineLevel="0" collapsed="false">
      <c r="A241" s="36"/>
      <c r="B241" s="35"/>
      <c r="C241" s="35"/>
      <c r="D241" s="35"/>
      <c r="E241" s="61"/>
      <c r="F241" s="61"/>
      <c r="G241" s="58" t="str">
        <f aca="false">IF(OR(E241="",F241=""),"",(F241-E241)*24)</f>
        <v/>
      </c>
      <c r="H241" s="35"/>
      <c r="I241" s="35"/>
    </row>
    <row r="242" customFormat="false" ht="15" hidden="false" customHeight="true" outlineLevel="0" collapsed="false">
      <c r="A242" s="36"/>
      <c r="B242" s="35"/>
      <c r="C242" s="35"/>
      <c r="D242" s="35"/>
      <c r="E242" s="61"/>
      <c r="F242" s="61"/>
      <c r="G242" s="58" t="str">
        <f aca="false">IF(OR(E242="",F242=""),"",(F242-E242)*24)</f>
        <v/>
      </c>
      <c r="H242" s="35"/>
      <c r="I242" s="35"/>
    </row>
    <row r="243" customFormat="false" ht="15" hidden="false" customHeight="true" outlineLevel="0" collapsed="false">
      <c r="A243" s="36"/>
      <c r="B243" s="35"/>
      <c r="C243" s="35"/>
      <c r="D243" s="35"/>
      <c r="E243" s="61"/>
      <c r="F243" s="61"/>
      <c r="G243" s="58" t="str">
        <f aca="false">IF(OR(E243="",F243=""),"",(F243-E243)*24)</f>
        <v/>
      </c>
      <c r="H243" s="35"/>
      <c r="I243" s="35"/>
    </row>
    <row r="244" customFormat="false" ht="15" hidden="false" customHeight="true" outlineLevel="0" collapsed="false">
      <c r="A244" s="36"/>
      <c r="B244" s="35"/>
      <c r="C244" s="35"/>
      <c r="D244" s="35"/>
      <c r="E244" s="61"/>
      <c r="F244" s="61"/>
      <c r="G244" s="58" t="str">
        <f aca="false">IF(OR(E244="",F244=""),"",(F244-E244)*24)</f>
        <v/>
      </c>
      <c r="H244" s="35"/>
      <c r="I244" s="35"/>
    </row>
    <row r="245" customFormat="false" ht="15" hidden="false" customHeight="true" outlineLevel="0" collapsed="false">
      <c r="A245" s="36"/>
      <c r="B245" s="35"/>
      <c r="C245" s="35"/>
      <c r="D245" s="35"/>
      <c r="E245" s="61"/>
      <c r="F245" s="61"/>
      <c r="G245" s="58" t="str">
        <f aca="false">IF(OR(E245="",F245=""),"",(F245-E245)*24)</f>
        <v/>
      </c>
      <c r="H245" s="35"/>
      <c r="I245" s="35"/>
    </row>
    <row r="246" customFormat="false" ht="15" hidden="false" customHeight="true" outlineLevel="0" collapsed="false">
      <c r="A246" s="36"/>
      <c r="B246" s="35"/>
      <c r="C246" s="35"/>
      <c r="D246" s="35"/>
      <c r="E246" s="61"/>
      <c r="F246" s="61"/>
      <c r="G246" s="58" t="str">
        <f aca="false">IF(OR(E246="",F246=""),"",(F246-E246)*24)</f>
        <v/>
      </c>
      <c r="H246" s="35"/>
      <c r="I246" s="35"/>
    </row>
    <row r="247" customFormat="false" ht="15" hidden="false" customHeight="true" outlineLevel="0" collapsed="false">
      <c r="A247" s="36"/>
      <c r="B247" s="35"/>
      <c r="C247" s="35"/>
      <c r="D247" s="35"/>
      <c r="E247" s="61"/>
      <c r="F247" s="61"/>
      <c r="G247" s="58" t="str">
        <f aca="false">IF(OR(E247="",F247=""),"",(F247-E247)*24)</f>
        <v/>
      </c>
      <c r="H247" s="35"/>
      <c r="I247" s="35"/>
    </row>
    <row r="248" customFormat="false" ht="15" hidden="false" customHeight="true" outlineLevel="0" collapsed="false">
      <c r="A248" s="36"/>
      <c r="B248" s="35"/>
      <c r="C248" s="35"/>
      <c r="D248" s="35"/>
      <c r="E248" s="61"/>
      <c r="F248" s="61"/>
      <c r="G248" s="58" t="str">
        <f aca="false">IF(OR(E248="",F248=""),"",(F248-E248)*24)</f>
        <v/>
      </c>
      <c r="H248" s="35"/>
      <c r="I248" s="35"/>
    </row>
    <row r="249" customFormat="false" ht="15" hidden="false" customHeight="true" outlineLevel="0" collapsed="false">
      <c r="A249" s="36"/>
      <c r="B249" s="35"/>
      <c r="C249" s="35"/>
      <c r="D249" s="35"/>
      <c r="E249" s="61"/>
      <c r="F249" s="61"/>
      <c r="G249" s="58" t="str">
        <f aca="false">IF(OR(E249="",F249=""),"",(F249-E249)*24)</f>
        <v/>
      </c>
      <c r="H249" s="35"/>
      <c r="I249" s="35"/>
    </row>
    <row r="250" customFormat="false" ht="15" hidden="false" customHeight="true" outlineLevel="0" collapsed="false">
      <c r="A250" s="36"/>
      <c r="B250" s="35"/>
      <c r="C250" s="35"/>
      <c r="D250" s="35"/>
      <c r="E250" s="61"/>
      <c r="F250" s="61"/>
      <c r="G250" s="58" t="str">
        <f aca="false">IF(OR(E250="",F250=""),"",(F250-E250)*24)</f>
        <v/>
      </c>
      <c r="H250" s="35"/>
      <c r="I250" s="35"/>
    </row>
    <row r="251" customFormat="false" ht="15" hidden="false" customHeight="true" outlineLevel="0" collapsed="false">
      <c r="A251" s="36"/>
      <c r="B251" s="35"/>
      <c r="C251" s="35"/>
      <c r="D251" s="35"/>
      <c r="E251" s="61"/>
      <c r="F251" s="61"/>
      <c r="G251" s="58" t="str">
        <f aca="false">IF(OR(E251="",F251=""),"",(F251-E251)*24)</f>
        <v/>
      </c>
      <c r="H251" s="35"/>
      <c r="I251" s="35"/>
    </row>
    <row r="252" customFormat="false" ht="15" hidden="false" customHeight="true" outlineLevel="0" collapsed="false">
      <c r="A252" s="36"/>
      <c r="B252" s="35"/>
      <c r="C252" s="35"/>
      <c r="D252" s="35"/>
      <c r="E252" s="61"/>
      <c r="F252" s="61"/>
      <c r="G252" s="58" t="str">
        <f aca="false">IF(OR(E252="",F252=""),"",(F252-E252)*24)</f>
        <v/>
      </c>
      <c r="H252" s="35"/>
      <c r="I252" s="35"/>
    </row>
    <row r="253" customFormat="false" ht="15" hidden="false" customHeight="true" outlineLevel="0" collapsed="false">
      <c r="A253" s="36"/>
      <c r="B253" s="35"/>
      <c r="C253" s="35"/>
      <c r="D253" s="35"/>
      <c r="E253" s="61"/>
      <c r="F253" s="61"/>
      <c r="G253" s="58" t="str">
        <f aca="false">IF(OR(E253="",F253=""),"",(F253-E253)*24)</f>
        <v/>
      </c>
      <c r="H253" s="35"/>
      <c r="I253" s="35"/>
    </row>
    <row r="254" customFormat="false" ht="15" hidden="false" customHeight="true" outlineLevel="0" collapsed="false">
      <c r="A254" s="36"/>
      <c r="B254" s="35"/>
      <c r="C254" s="35"/>
      <c r="D254" s="35"/>
      <c r="E254" s="61"/>
      <c r="F254" s="61"/>
      <c r="G254" s="58" t="str">
        <f aca="false">IF(OR(E254="",F254=""),"",(F254-E254)*24)</f>
        <v/>
      </c>
      <c r="H254" s="35"/>
      <c r="I254" s="35"/>
    </row>
    <row r="255" customFormat="false" ht="15" hidden="false" customHeight="true" outlineLevel="0" collapsed="false">
      <c r="A255" s="36"/>
      <c r="B255" s="35"/>
      <c r="C255" s="35"/>
      <c r="D255" s="35"/>
      <c r="E255" s="61"/>
      <c r="F255" s="61"/>
      <c r="G255" s="58" t="str">
        <f aca="false">IF(OR(E255="",F255=""),"",(F255-E255)*24)</f>
        <v/>
      </c>
      <c r="H255" s="35"/>
      <c r="I255" s="35"/>
    </row>
    <row r="256" customFormat="false" ht="15" hidden="false" customHeight="true" outlineLevel="0" collapsed="false">
      <c r="A256" s="36"/>
      <c r="B256" s="35"/>
      <c r="C256" s="35"/>
      <c r="D256" s="35"/>
      <c r="E256" s="61"/>
      <c r="F256" s="61"/>
      <c r="G256" s="58" t="str">
        <f aca="false">IF(OR(E256="",F256=""),"",(F256-E256)*24)</f>
        <v/>
      </c>
      <c r="H256" s="35"/>
      <c r="I256" s="35"/>
    </row>
    <row r="257" customFormat="false" ht="15" hidden="false" customHeight="true" outlineLevel="0" collapsed="false">
      <c r="A257" s="36"/>
      <c r="B257" s="35"/>
      <c r="C257" s="35"/>
      <c r="D257" s="35"/>
      <c r="E257" s="61"/>
      <c r="F257" s="61"/>
      <c r="G257" s="58" t="str">
        <f aca="false">IF(OR(E257="",F257=""),"",(F257-E257)*24)</f>
        <v/>
      </c>
      <c r="H257" s="35"/>
      <c r="I257" s="35"/>
    </row>
    <row r="258" customFormat="false" ht="15" hidden="false" customHeight="true" outlineLevel="0" collapsed="false">
      <c r="A258" s="36"/>
      <c r="B258" s="35"/>
      <c r="C258" s="35"/>
      <c r="D258" s="35"/>
      <c r="E258" s="61"/>
      <c r="F258" s="61"/>
      <c r="G258" s="58" t="str">
        <f aca="false">IF(OR(E258="",F258=""),"",(F258-E258)*24)</f>
        <v/>
      </c>
      <c r="H258" s="35"/>
      <c r="I258" s="35"/>
    </row>
    <row r="259" customFormat="false" ht="15" hidden="false" customHeight="true" outlineLevel="0" collapsed="false">
      <c r="A259" s="36"/>
      <c r="B259" s="35"/>
      <c r="C259" s="35"/>
      <c r="D259" s="35"/>
      <c r="E259" s="61"/>
      <c r="F259" s="61"/>
      <c r="G259" s="58" t="str">
        <f aca="false">IF(OR(E259="",F259=""),"",(F259-E259)*24)</f>
        <v/>
      </c>
      <c r="H259" s="35"/>
      <c r="I259" s="35"/>
    </row>
    <row r="260" customFormat="false" ht="15" hidden="false" customHeight="true" outlineLevel="0" collapsed="false">
      <c r="A260" s="36"/>
      <c r="B260" s="35"/>
      <c r="C260" s="35"/>
      <c r="D260" s="35"/>
      <c r="E260" s="61"/>
      <c r="F260" s="61"/>
      <c r="G260" s="58" t="str">
        <f aca="false">IF(OR(E260="",F260=""),"",(F260-E260)*24)</f>
        <v/>
      </c>
      <c r="H260" s="35"/>
      <c r="I260" s="35"/>
    </row>
    <row r="261" customFormat="false" ht="15" hidden="false" customHeight="true" outlineLevel="0" collapsed="false">
      <c r="A261" s="36"/>
      <c r="B261" s="35"/>
      <c r="C261" s="35"/>
      <c r="D261" s="35"/>
      <c r="E261" s="61"/>
      <c r="F261" s="61"/>
      <c r="G261" s="58" t="str">
        <f aca="false">IF(OR(E261="",F261=""),"",(F261-E261)*24)</f>
        <v/>
      </c>
      <c r="H261" s="35"/>
      <c r="I261" s="35"/>
    </row>
    <row r="262" customFormat="false" ht="15" hidden="false" customHeight="true" outlineLevel="0" collapsed="false">
      <c r="A262" s="36"/>
      <c r="B262" s="35"/>
      <c r="C262" s="35"/>
      <c r="D262" s="35"/>
      <c r="E262" s="61"/>
      <c r="F262" s="61"/>
      <c r="G262" s="58" t="str">
        <f aca="false">IF(OR(E262="",F262=""),"",(F262-E262)*24)</f>
        <v/>
      </c>
      <c r="H262" s="35"/>
      <c r="I262" s="35"/>
    </row>
    <row r="263" customFormat="false" ht="15" hidden="false" customHeight="true" outlineLevel="0" collapsed="false">
      <c r="A263" s="36"/>
      <c r="B263" s="35"/>
      <c r="C263" s="35"/>
      <c r="D263" s="35"/>
      <c r="E263" s="61"/>
      <c r="F263" s="61"/>
      <c r="G263" s="58" t="str">
        <f aca="false">IF(OR(E263="",F263=""),"",(F263-E263)*24)</f>
        <v/>
      </c>
      <c r="H263" s="35"/>
      <c r="I263" s="35"/>
    </row>
    <row r="264" customFormat="false" ht="15" hidden="false" customHeight="true" outlineLevel="0" collapsed="false">
      <c r="A264" s="36"/>
      <c r="B264" s="35"/>
      <c r="C264" s="35"/>
      <c r="D264" s="35"/>
      <c r="E264" s="61"/>
      <c r="F264" s="61"/>
      <c r="G264" s="58" t="str">
        <f aca="false">IF(OR(E264="",F264=""),"",(F264-E264)*24)</f>
        <v/>
      </c>
      <c r="H264" s="35"/>
      <c r="I264" s="35"/>
    </row>
    <row r="265" customFormat="false" ht="15" hidden="false" customHeight="true" outlineLevel="0" collapsed="false">
      <c r="A265" s="36"/>
      <c r="B265" s="35"/>
      <c r="C265" s="35"/>
      <c r="D265" s="35"/>
      <c r="E265" s="61"/>
      <c r="F265" s="61"/>
      <c r="G265" s="58" t="str">
        <f aca="false">IF(OR(E265="",F265=""),"",(F265-E265)*24)</f>
        <v/>
      </c>
      <c r="H265" s="35"/>
      <c r="I265" s="35"/>
    </row>
    <row r="266" customFormat="false" ht="15" hidden="false" customHeight="true" outlineLevel="0" collapsed="false">
      <c r="A266" s="36"/>
      <c r="B266" s="35"/>
      <c r="C266" s="35"/>
      <c r="D266" s="35"/>
      <c r="E266" s="61"/>
      <c r="F266" s="61"/>
      <c r="G266" s="58" t="str">
        <f aca="false">IF(OR(E266="",F266=""),"",(F266-E266)*24)</f>
        <v/>
      </c>
      <c r="H266" s="35"/>
      <c r="I266" s="35"/>
    </row>
    <row r="267" customFormat="false" ht="15" hidden="false" customHeight="true" outlineLevel="0" collapsed="false">
      <c r="A267" s="36"/>
      <c r="B267" s="35"/>
      <c r="C267" s="35"/>
      <c r="D267" s="35"/>
      <c r="E267" s="61"/>
      <c r="F267" s="61"/>
      <c r="G267" s="58" t="str">
        <f aca="false">IF(OR(E267="",F267=""),"",(F267-E267)*24)</f>
        <v/>
      </c>
      <c r="H267" s="35"/>
      <c r="I267" s="35"/>
    </row>
    <row r="268" customFormat="false" ht="15" hidden="false" customHeight="true" outlineLevel="0" collapsed="false">
      <c r="A268" s="36"/>
      <c r="B268" s="35"/>
      <c r="C268" s="35"/>
      <c r="D268" s="35"/>
      <c r="E268" s="61"/>
      <c r="F268" s="61"/>
      <c r="G268" s="58" t="str">
        <f aca="false">IF(OR(E268="",F268=""),"",(F268-E268)*24)</f>
        <v/>
      </c>
      <c r="H268" s="35"/>
      <c r="I268" s="35"/>
    </row>
    <row r="269" customFormat="false" ht="15" hidden="false" customHeight="true" outlineLevel="0" collapsed="false">
      <c r="A269" s="36"/>
      <c r="B269" s="35"/>
      <c r="C269" s="35"/>
      <c r="D269" s="35"/>
      <c r="E269" s="61"/>
      <c r="F269" s="61"/>
      <c r="G269" s="58" t="str">
        <f aca="false">IF(OR(E269="",F269=""),"",(F269-E269)*24)</f>
        <v/>
      </c>
      <c r="H269" s="35"/>
      <c r="I269" s="35"/>
    </row>
    <row r="270" customFormat="false" ht="15" hidden="false" customHeight="true" outlineLevel="0" collapsed="false">
      <c r="A270" s="36"/>
      <c r="B270" s="35"/>
      <c r="C270" s="35"/>
      <c r="D270" s="35"/>
      <c r="E270" s="61"/>
      <c r="F270" s="61"/>
      <c r="G270" s="58" t="str">
        <f aca="false">IF(OR(E270="",F270=""),"",(F270-E270)*24)</f>
        <v/>
      </c>
      <c r="H270" s="35"/>
      <c r="I270" s="35"/>
    </row>
    <row r="271" customFormat="false" ht="15" hidden="false" customHeight="true" outlineLevel="0" collapsed="false">
      <c r="A271" s="36"/>
      <c r="B271" s="35"/>
      <c r="C271" s="35"/>
      <c r="D271" s="35"/>
      <c r="E271" s="61"/>
      <c r="F271" s="61"/>
      <c r="G271" s="58" t="str">
        <f aca="false">IF(OR(E271="",F271=""),"",(F271-E271)*24)</f>
        <v/>
      </c>
      <c r="H271" s="35"/>
      <c r="I271" s="35"/>
    </row>
    <row r="272" customFormat="false" ht="15" hidden="false" customHeight="true" outlineLevel="0" collapsed="false">
      <c r="A272" s="36"/>
      <c r="B272" s="35"/>
      <c r="C272" s="35"/>
      <c r="D272" s="35"/>
      <c r="E272" s="61"/>
      <c r="F272" s="61"/>
      <c r="G272" s="58" t="str">
        <f aca="false">IF(OR(E272="",F272=""),"",(F272-E272)*24)</f>
        <v/>
      </c>
      <c r="H272" s="35"/>
      <c r="I272" s="35"/>
    </row>
    <row r="273" customFormat="false" ht="15" hidden="false" customHeight="true" outlineLevel="0" collapsed="false">
      <c r="A273" s="36"/>
      <c r="B273" s="35"/>
      <c r="C273" s="35"/>
      <c r="D273" s="35"/>
      <c r="E273" s="61"/>
      <c r="F273" s="61"/>
      <c r="G273" s="58" t="str">
        <f aca="false">IF(OR(E273="",F273=""),"",(F273-E273)*24)</f>
        <v/>
      </c>
      <c r="H273" s="35"/>
      <c r="I273" s="35"/>
    </row>
    <row r="274" customFormat="false" ht="15" hidden="false" customHeight="true" outlineLevel="0" collapsed="false">
      <c r="A274" s="36"/>
      <c r="B274" s="35"/>
      <c r="C274" s="35"/>
      <c r="D274" s="35"/>
      <c r="E274" s="61"/>
      <c r="F274" s="61"/>
      <c r="G274" s="58" t="str">
        <f aca="false">IF(OR(E274="",F274=""),"",(F274-E274)*24)</f>
        <v/>
      </c>
      <c r="H274" s="35"/>
      <c r="I274" s="35"/>
    </row>
    <row r="275" customFormat="false" ht="15" hidden="false" customHeight="true" outlineLevel="0" collapsed="false">
      <c r="A275" s="36"/>
      <c r="B275" s="35"/>
      <c r="C275" s="35"/>
      <c r="D275" s="35"/>
      <c r="E275" s="61"/>
      <c r="F275" s="61"/>
      <c r="G275" s="58" t="str">
        <f aca="false">IF(OR(E275="",F275=""),"",(F275-E275)*24)</f>
        <v/>
      </c>
      <c r="H275" s="35"/>
      <c r="I275" s="35"/>
    </row>
    <row r="276" customFormat="false" ht="15" hidden="false" customHeight="true" outlineLevel="0" collapsed="false">
      <c r="A276" s="36"/>
      <c r="B276" s="35"/>
      <c r="C276" s="35"/>
      <c r="D276" s="35"/>
      <c r="E276" s="61"/>
      <c r="F276" s="61"/>
      <c r="G276" s="58" t="str">
        <f aca="false">IF(OR(E276="",F276=""),"",(F276-E276)*24)</f>
        <v/>
      </c>
      <c r="H276" s="35"/>
      <c r="I276" s="35"/>
    </row>
    <row r="277" customFormat="false" ht="15" hidden="false" customHeight="true" outlineLevel="0" collapsed="false">
      <c r="A277" s="36"/>
      <c r="B277" s="35"/>
      <c r="C277" s="35"/>
      <c r="D277" s="35"/>
      <c r="E277" s="61"/>
      <c r="F277" s="61"/>
      <c r="G277" s="58" t="str">
        <f aca="false">IF(OR(E277="",F277=""),"",(F277-E277)*24)</f>
        <v/>
      </c>
      <c r="H277" s="35"/>
      <c r="I277" s="35"/>
    </row>
    <row r="278" customFormat="false" ht="15" hidden="false" customHeight="true" outlineLevel="0" collapsed="false">
      <c r="A278" s="36"/>
      <c r="B278" s="35"/>
      <c r="C278" s="35"/>
      <c r="D278" s="35"/>
      <c r="E278" s="61"/>
      <c r="F278" s="61"/>
      <c r="G278" s="58" t="str">
        <f aca="false">IF(OR(E278="",F278=""),"",(F278-E278)*24)</f>
        <v/>
      </c>
      <c r="H278" s="35"/>
      <c r="I278" s="35"/>
    </row>
    <row r="279" customFormat="false" ht="15" hidden="false" customHeight="true" outlineLevel="0" collapsed="false">
      <c r="A279" s="36"/>
      <c r="B279" s="35"/>
      <c r="C279" s="35"/>
      <c r="D279" s="35"/>
      <c r="E279" s="61"/>
      <c r="F279" s="61"/>
      <c r="G279" s="58" t="str">
        <f aca="false">IF(OR(E279="",F279=""),"",(F279-E279)*24)</f>
        <v/>
      </c>
      <c r="H279" s="35"/>
      <c r="I279" s="35"/>
    </row>
    <row r="280" customFormat="false" ht="15" hidden="false" customHeight="true" outlineLevel="0" collapsed="false">
      <c r="A280" s="36"/>
      <c r="B280" s="35"/>
      <c r="C280" s="35"/>
      <c r="D280" s="35"/>
      <c r="E280" s="61"/>
      <c r="F280" s="61"/>
      <c r="G280" s="58" t="str">
        <f aca="false">IF(OR(E280="",F280=""),"",(F280-E280)*24)</f>
        <v/>
      </c>
      <c r="H280" s="35"/>
      <c r="I280" s="35"/>
    </row>
    <row r="281" customFormat="false" ht="15" hidden="false" customHeight="true" outlineLevel="0" collapsed="false">
      <c r="A281" s="36"/>
      <c r="B281" s="35"/>
      <c r="C281" s="35"/>
      <c r="D281" s="35"/>
      <c r="E281" s="61"/>
      <c r="F281" s="61"/>
      <c r="G281" s="58" t="str">
        <f aca="false">IF(OR(E281="",F281=""),"",(F281-E281)*24)</f>
        <v/>
      </c>
      <c r="H281" s="35"/>
      <c r="I281" s="35"/>
    </row>
    <row r="282" customFormat="false" ht="15" hidden="false" customHeight="true" outlineLevel="0" collapsed="false">
      <c r="A282" s="36"/>
      <c r="B282" s="35"/>
      <c r="C282" s="35"/>
      <c r="D282" s="35"/>
      <c r="E282" s="61"/>
      <c r="F282" s="61"/>
      <c r="G282" s="58" t="str">
        <f aca="false">IF(OR(E282="",F282=""),"",(F282-E282)*24)</f>
        <v/>
      </c>
      <c r="H282" s="35"/>
      <c r="I282" s="35"/>
    </row>
    <row r="283" customFormat="false" ht="15" hidden="false" customHeight="true" outlineLevel="0" collapsed="false">
      <c r="A283" s="36"/>
      <c r="B283" s="35"/>
      <c r="C283" s="35"/>
      <c r="D283" s="35"/>
      <c r="E283" s="61"/>
      <c r="F283" s="61"/>
      <c r="G283" s="58" t="str">
        <f aca="false">IF(OR(E283="",F283=""),"",(F283-E283)*24)</f>
        <v/>
      </c>
      <c r="H283" s="35"/>
      <c r="I283" s="35"/>
    </row>
    <row r="284" customFormat="false" ht="15" hidden="false" customHeight="true" outlineLevel="0" collapsed="false">
      <c r="A284" s="36"/>
      <c r="B284" s="35"/>
      <c r="C284" s="35"/>
      <c r="D284" s="35"/>
      <c r="E284" s="61"/>
      <c r="F284" s="61"/>
      <c r="G284" s="58" t="str">
        <f aca="false">IF(OR(E284="",F284=""),"",(F284-E284)*24)</f>
        <v/>
      </c>
      <c r="H284" s="35"/>
      <c r="I284" s="35"/>
    </row>
    <row r="285" customFormat="false" ht="15" hidden="false" customHeight="true" outlineLevel="0" collapsed="false">
      <c r="A285" s="36"/>
      <c r="B285" s="35"/>
      <c r="C285" s="35"/>
      <c r="D285" s="35"/>
      <c r="E285" s="61"/>
      <c r="F285" s="61"/>
      <c r="G285" s="58" t="str">
        <f aca="false">IF(OR(E285="",F285=""),"",(F285-E285)*24)</f>
        <v/>
      </c>
      <c r="H285" s="35"/>
      <c r="I285" s="35"/>
    </row>
    <row r="286" customFormat="false" ht="15" hidden="false" customHeight="true" outlineLevel="0" collapsed="false">
      <c r="A286" s="36"/>
      <c r="B286" s="35"/>
      <c r="C286" s="35"/>
      <c r="D286" s="35"/>
      <c r="E286" s="61"/>
      <c r="F286" s="61"/>
      <c r="G286" s="58" t="str">
        <f aca="false">IF(OR(E286="",F286=""),"",(F286-E286)*24)</f>
        <v/>
      </c>
      <c r="H286" s="35"/>
      <c r="I286" s="35"/>
    </row>
    <row r="287" customFormat="false" ht="15" hidden="false" customHeight="true" outlineLevel="0" collapsed="false">
      <c r="A287" s="36"/>
      <c r="B287" s="35"/>
      <c r="C287" s="35"/>
      <c r="D287" s="35"/>
      <c r="E287" s="61"/>
      <c r="F287" s="61"/>
      <c r="G287" s="58" t="str">
        <f aca="false">IF(OR(E287="",F287=""),"",(F287-E287)*24)</f>
        <v/>
      </c>
      <c r="H287" s="35"/>
      <c r="I287" s="35"/>
    </row>
    <row r="288" customFormat="false" ht="15" hidden="false" customHeight="true" outlineLevel="0" collapsed="false">
      <c r="A288" s="36"/>
      <c r="B288" s="35"/>
      <c r="C288" s="35"/>
      <c r="D288" s="35"/>
      <c r="E288" s="61"/>
      <c r="F288" s="61"/>
      <c r="G288" s="58" t="str">
        <f aca="false">IF(OR(E288="",F288=""),"",(F288-E288)*24)</f>
        <v/>
      </c>
      <c r="H288" s="35"/>
      <c r="I288" s="35"/>
    </row>
    <row r="289" customFormat="false" ht="15" hidden="false" customHeight="true" outlineLevel="0" collapsed="false">
      <c r="A289" s="36"/>
      <c r="B289" s="35"/>
      <c r="C289" s="35"/>
      <c r="D289" s="35"/>
      <c r="E289" s="61"/>
      <c r="F289" s="61"/>
      <c r="G289" s="58" t="str">
        <f aca="false">IF(OR(E289="",F289=""),"",(F289-E289)*24)</f>
        <v/>
      </c>
      <c r="H289" s="35"/>
      <c r="I289" s="35"/>
    </row>
    <row r="290" customFormat="false" ht="15" hidden="false" customHeight="true" outlineLevel="0" collapsed="false">
      <c r="A290" s="36"/>
      <c r="B290" s="35"/>
      <c r="C290" s="35"/>
      <c r="D290" s="35"/>
      <c r="E290" s="61"/>
      <c r="F290" s="61"/>
      <c r="G290" s="58" t="str">
        <f aca="false">IF(OR(E290="",F290=""),"",(F290-E290)*24)</f>
        <v/>
      </c>
      <c r="H290" s="35"/>
      <c r="I290" s="35"/>
    </row>
    <row r="291" customFormat="false" ht="15" hidden="false" customHeight="true" outlineLevel="0" collapsed="false">
      <c r="A291" s="36"/>
      <c r="B291" s="35"/>
      <c r="C291" s="35"/>
      <c r="D291" s="35"/>
      <c r="E291" s="61"/>
      <c r="F291" s="61"/>
      <c r="G291" s="58" t="str">
        <f aca="false">IF(OR(E291="",F291=""),"",(F291-E291)*24)</f>
        <v/>
      </c>
      <c r="H291" s="35"/>
      <c r="I291" s="35"/>
    </row>
    <row r="292" customFormat="false" ht="15" hidden="false" customHeight="true" outlineLevel="0" collapsed="false">
      <c r="A292" s="36"/>
      <c r="B292" s="35"/>
      <c r="C292" s="35"/>
      <c r="D292" s="35"/>
      <c r="E292" s="61"/>
      <c r="F292" s="61"/>
      <c r="G292" s="58" t="str">
        <f aca="false">IF(OR(E292="",F292=""),"",(F292-E292)*24)</f>
        <v/>
      </c>
      <c r="H292" s="35"/>
      <c r="I292" s="35"/>
    </row>
    <row r="293" customFormat="false" ht="15" hidden="false" customHeight="true" outlineLevel="0" collapsed="false">
      <c r="A293" s="36"/>
      <c r="B293" s="35"/>
      <c r="C293" s="35"/>
      <c r="D293" s="35"/>
      <c r="E293" s="61"/>
      <c r="F293" s="61"/>
      <c r="G293" s="58" t="str">
        <f aca="false">IF(OR(E293="",F293=""),"",(F293-E293)*24)</f>
        <v/>
      </c>
      <c r="H293" s="35"/>
      <c r="I293" s="35"/>
    </row>
    <row r="294" customFormat="false" ht="15" hidden="false" customHeight="true" outlineLevel="0" collapsed="false">
      <c r="A294" s="36"/>
      <c r="B294" s="35"/>
      <c r="C294" s="35"/>
      <c r="D294" s="35"/>
      <c r="E294" s="61"/>
      <c r="F294" s="61"/>
      <c r="G294" s="58" t="str">
        <f aca="false">IF(OR(E294="",F294=""),"",(F294-E294)*24)</f>
        <v/>
      </c>
      <c r="H294" s="35"/>
      <c r="I294" s="35"/>
    </row>
    <row r="295" customFormat="false" ht="15" hidden="false" customHeight="true" outlineLevel="0" collapsed="false">
      <c r="A295" s="36"/>
      <c r="B295" s="35"/>
      <c r="C295" s="35"/>
      <c r="D295" s="35"/>
      <c r="E295" s="61"/>
      <c r="F295" s="61"/>
      <c r="G295" s="58" t="str">
        <f aca="false">IF(OR(E295="",F295=""),"",(F295-E295)*24)</f>
        <v/>
      </c>
      <c r="H295" s="35"/>
      <c r="I295" s="35"/>
    </row>
    <row r="296" customFormat="false" ht="15" hidden="false" customHeight="true" outlineLevel="0" collapsed="false">
      <c r="A296" s="36"/>
      <c r="B296" s="35"/>
      <c r="C296" s="35"/>
      <c r="D296" s="35"/>
      <c r="E296" s="61"/>
      <c r="F296" s="61"/>
      <c r="G296" s="58" t="str">
        <f aca="false">IF(OR(E296="",F296=""),"",(F296-E296)*24)</f>
        <v/>
      </c>
      <c r="H296" s="35"/>
      <c r="I296" s="35"/>
    </row>
    <row r="297" customFormat="false" ht="15" hidden="false" customHeight="true" outlineLevel="0" collapsed="false">
      <c r="A297" s="36"/>
      <c r="B297" s="35"/>
      <c r="C297" s="35"/>
      <c r="D297" s="35"/>
      <c r="E297" s="61"/>
      <c r="F297" s="61"/>
      <c r="G297" s="58" t="str">
        <f aca="false">IF(OR(E297="",F297=""),"",(F297-E297)*24)</f>
        <v/>
      </c>
      <c r="H297" s="35"/>
      <c r="I297" s="35"/>
    </row>
    <row r="298" customFormat="false" ht="15" hidden="false" customHeight="true" outlineLevel="0" collapsed="false">
      <c r="A298" s="36"/>
      <c r="B298" s="35"/>
      <c r="C298" s="35"/>
      <c r="D298" s="35"/>
      <c r="E298" s="61"/>
      <c r="F298" s="61"/>
      <c r="G298" s="58" t="str">
        <f aca="false">IF(OR(E298="",F298=""),"",(F298-E298)*24)</f>
        <v/>
      </c>
      <c r="H298" s="35"/>
      <c r="I298" s="35"/>
    </row>
    <row r="299" customFormat="false" ht="15" hidden="false" customHeight="true" outlineLevel="0" collapsed="false">
      <c r="A299" s="36"/>
      <c r="B299" s="35"/>
      <c r="C299" s="35"/>
      <c r="D299" s="35"/>
      <c r="E299" s="61"/>
      <c r="F299" s="61"/>
      <c r="G299" s="58" t="str">
        <f aca="false">IF(OR(E299="",F299=""),"",(F299-E299)*24)</f>
        <v/>
      </c>
      <c r="H299" s="35"/>
      <c r="I299" s="35"/>
    </row>
    <row r="300" customFormat="false" ht="15" hidden="false" customHeight="true" outlineLevel="0" collapsed="false">
      <c r="A300" s="36"/>
      <c r="B300" s="35"/>
      <c r="C300" s="35"/>
      <c r="D300" s="35"/>
      <c r="E300" s="61"/>
      <c r="F300" s="61"/>
      <c r="G300" s="58" t="str">
        <f aca="false">IF(OR(E300="",F300=""),"",(F300-E300)*24)</f>
        <v/>
      </c>
      <c r="H300" s="35"/>
      <c r="I300" s="35"/>
    </row>
    <row r="301" customFormat="false" ht="15" hidden="false" customHeight="true" outlineLevel="0" collapsed="false">
      <c r="A301" s="36"/>
      <c r="B301" s="35"/>
      <c r="C301" s="35"/>
      <c r="D301" s="35"/>
      <c r="E301" s="61"/>
      <c r="F301" s="61"/>
      <c r="G301" s="58" t="str">
        <f aca="false">IF(OR(E301="",F301=""),"",(F301-E301)*24)</f>
        <v/>
      </c>
      <c r="H301" s="35"/>
      <c r="I301" s="35"/>
    </row>
    <row r="302" customFormat="false" ht="15" hidden="false" customHeight="true" outlineLevel="0" collapsed="false">
      <c r="A302" s="36"/>
      <c r="B302" s="35"/>
      <c r="C302" s="35"/>
      <c r="D302" s="35"/>
      <c r="E302" s="61"/>
      <c r="F302" s="61"/>
      <c r="G302" s="58" t="str">
        <f aca="false">IF(OR(E302="",F302=""),"",(F302-E302)*24)</f>
        <v/>
      </c>
      <c r="H302" s="35"/>
      <c r="I302" s="35"/>
    </row>
    <row r="303" customFormat="false" ht="15" hidden="false" customHeight="true" outlineLevel="0" collapsed="false">
      <c r="A303" s="36"/>
      <c r="B303" s="35"/>
      <c r="C303" s="35"/>
      <c r="D303" s="35"/>
      <c r="E303" s="61"/>
      <c r="F303" s="61"/>
      <c r="G303" s="58" t="str">
        <f aca="false">IF(OR(E303="",F303=""),"",(F303-E303)*24)</f>
        <v/>
      </c>
      <c r="H303" s="35"/>
      <c r="I303" s="35"/>
    </row>
    <row r="304" customFormat="false" ht="15" hidden="false" customHeight="true" outlineLevel="0" collapsed="false">
      <c r="A304" s="36"/>
      <c r="B304" s="35"/>
      <c r="C304" s="35"/>
      <c r="D304" s="35"/>
      <c r="E304" s="61"/>
      <c r="F304" s="61"/>
      <c r="G304" s="58" t="str">
        <f aca="false">IF(OR(E304="",F304=""),"",(F304-E304)*24)</f>
        <v/>
      </c>
      <c r="H304" s="35"/>
      <c r="I304" s="35"/>
    </row>
    <row r="305" customFormat="false" ht="15" hidden="false" customHeight="true" outlineLevel="0" collapsed="false">
      <c r="A305" s="36"/>
      <c r="B305" s="35"/>
      <c r="C305" s="35"/>
      <c r="D305" s="35"/>
      <c r="E305" s="61"/>
      <c r="F305" s="61"/>
      <c r="G305" s="58" t="str">
        <f aca="false">IF(OR(E305="",F305=""),"",(F305-E305)*24)</f>
        <v/>
      </c>
      <c r="H305" s="35"/>
      <c r="I305" s="35"/>
    </row>
    <row r="306" customFormat="false" ht="15" hidden="false" customHeight="true" outlineLevel="0" collapsed="false">
      <c r="A306" s="36"/>
      <c r="B306" s="35"/>
      <c r="C306" s="35"/>
      <c r="D306" s="35"/>
      <c r="E306" s="61"/>
      <c r="F306" s="61"/>
      <c r="G306" s="58" t="str">
        <f aca="false">IF(OR(E306="",F306=""),"",(F306-E306)*24)</f>
        <v/>
      </c>
      <c r="H306" s="35"/>
      <c r="I306" s="35"/>
    </row>
    <row r="307" customFormat="false" ht="15" hidden="false" customHeight="true" outlineLevel="0" collapsed="false">
      <c r="A307" s="36"/>
      <c r="B307" s="35"/>
      <c r="C307" s="35"/>
      <c r="D307" s="35"/>
      <c r="E307" s="61"/>
      <c r="F307" s="61"/>
      <c r="G307" s="58" t="str">
        <f aca="false">IF(OR(E307="",F307=""),"",(F307-E307)*24)</f>
        <v/>
      </c>
      <c r="H307" s="35"/>
      <c r="I307" s="35"/>
    </row>
    <row r="308" customFormat="false" ht="15" hidden="false" customHeight="true" outlineLevel="0" collapsed="false">
      <c r="A308" s="36"/>
      <c r="B308" s="35"/>
      <c r="C308" s="35"/>
      <c r="D308" s="35"/>
      <c r="E308" s="61"/>
      <c r="F308" s="61"/>
      <c r="G308" s="58" t="str">
        <f aca="false">IF(OR(E308="",F308=""),"",(F308-E308)*24)</f>
        <v/>
      </c>
      <c r="H308" s="35"/>
      <c r="I308" s="35"/>
    </row>
    <row r="309" customFormat="false" ht="15" hidden="false" customHeight="true" outlineLevel="0" collapsed="false">
      <c r="A309" s="36"/>
      <c r="B309" s="35"/>
      <c r="C309" s="35"/>
      <c r="D309" s="35"/>
      <c r="E309" s="61"/>
      <c r="F309" s="61"/>
      <c r="G309" s="58" t="str">
        <f aca="false">IF(OR(E309="",F309=""),"",(F309-E309)*24)</f>
        <v/>
      </c>
      <c r="H309" s="35"/>
      <c r="I309" s="35"/>
    </row>
    <row r="310" customFormat="false" ht="15" hidden="false" customHeight="true" outlineLevel="0" collapsed="false">
      <c r="A310" s="36"/>
      <c r="B310" s="35"/>
      <c r="C310" s="35"/>
      <c r="D310" s="35"/>
      <c r="E310" s="61"/>
      <c r="F310" s="61"/>
      <c r="G310" s="58" t="str">
        <f aca="false">IF(OR(E310="",F310=""),"",(F310-E310)*24)</f>
        <v/>
      </c>
      <c r="H310" s="35"/>
      <c r="I310" s="35"/>
    </row>
    <row r="311" customFormat="false" ht="15" hidden="false" customHeight="true" outlineLevel="0" collapsed="false">
      <c r="A311" s="36"/>
      <c r="B311" s="35"/>
      <c r="C311" s="35"/>
      <c r="D311" s="35"/>
      <c r="E311" s="61"/>
      <c r="F311" s="61"/>
      <c r="G311" s="58" t="str">
        <f aca="false">IF(OR(E311="",F311=""),"",(F311-E311)*24)</f>
        <v/>
      </c>
      <c r="H311" s="35"/>
      <c r="I311" s="35"/>
    </row>
    <row r="312" customFormat="false" ht="15" hidden="false" customHeight="true" outlineLevel="0" collapsed="false">
      <c r="A312" s="36"/>
      <c r="B312" s="35"/>
      <c r="C312" s="35"/>
      <c r="D312" s="35"/>
      <c r="E312" s="61"/>
      <c r="F312" s="61"/>
      <c r="G312" s="58" t="str">
        <f aca="false">IF(OR(E312="",F312=""),"",(F312-E312)*24)</f>
        <v/>
      </c>
      <c r="H312" s="35"/>
      <c r="I312" s="35"/>
    </row>
    <row r="313" customFormat="false" ht="15" hidden="false" customHeight="true" outlineLevel="0" collapsed="false">
      <c r="A313" s="36"/>
      <c r="B313" s="35"/>
      <c r="C313" s="35"/>
      <c r="D313" s="35"/>
      <c r="E313" s="61"/>
      <c r="F313" s="61"/>
      <c r="G313" s="58" t="str">
        <f aca="false">IF(OR(E313="",F313=""),"",(F313-E313)*24)</f>
        <v/>
      </c>
      <c r="H313" s="35"/>
      <c r="I313" s="35"/>
    </row>
    <row r="314" customFormat="false" ht="15" hidden="false" customHeight="true" outlineLevel="0" collapsed="false">
      <c r="A314" s="36"/>
      <c r="B314" s="35"/>
      <c r="C314" s="35"/>
      <c r="D314" s="35"/>
      <c r="E314" s="61"/>
      <c r="F314" s="61"/>
      <c r="G314" s="58" t="str">
        <f aca="false">IF(OR(E314="",F314=""),"",(F314-E314)*24)</f>
        <v/>
      </c>
      <c r="H314" s="35"/>
      <c r="I314" s="35"/>
    </row>
    <row r="315" customFormat="false" ht="15" hidden="false" customHeight="true" outlineLevel="0" collapsed="false">
      <c r="A315" s="36"/>
      <c r="B315" s="35"/>
      <c r="C315" s="35"/>
      <c r="D315" s="35"/>
      <c r="E315" s="61"/>
      <c r="F315" s="61"/>
      <c r="G315" s="58" t="str">
        <f aca="false">IF(OR(E315="",F315=""),"",(F315-E315)*24)</f>
        <v/>
      </c>
      <c r="H315" s="35"/>
      <c r="I315" s="35"/>
    </row>
    <row r="316" customFormat="false" ht="15" hidden="false" customHeight="true" outlineLevel="0" collapsed="false">
      <c r="A316" s="36"/>
      <c r="B316" s="35"/>
      <c r="C316" s="35"/>
      <c r="D316" s="35"/>
      <c r="E316" s="61"/>
      <c r="F316" s="61"/>
      <c r="G316" s="58" t="str">
        <f aca="false">IF(OR(E316="",F316=""),"",(F316-E316)*24)</f>
        <v/>
      </c>
      <c r="H316" s="35"/>
      <c r="I316" s="35"/>
    </row>
    <row r="317" customFormat="false" ht="15" hidden="false" customHeight="true" outlineLevel="0" collapsed="false">
      <c r="A317" s="36"/>
      <c r="B317" s="35"/>
      <c r="C317" s="35"/>
      <c r="D317" s="35"/>
      <c r="E317" s="61"/>
      <c r="F317" s="61"/>
      <c r="G317" s="58" t="str">
        <f aca="false">IF(OR(E317="",F317=""),"",(F317-E317)*24)</f>
        <v/>
      </c>
      <c r="H317" s="35"/>
      <c r="I317" s="35"/>
    </row>
    <row r="318" customFormat="false" ht="15" hidden="false" customHeight="true" outlineLevel="0" collapsed="false">
      <c r="A318" s="36"/>
      <c r="B318" s="35"/>
      <c r="C318" s="35"/>
      <c r="D318" s="35"/>
      <c r="E318" s="61"/>
      <c r="F318" s="61"/>
      <c r="G318" s="58" t="str">
        <f aca="false">IF(OR(E318="",F318=""),"",(F318-E318)*24)</f>
        <v/>
      </c>
      <c r="H318" s="35"/>
      <c r="I318" s="35"/>
    </row>
    <row r="319" customFormat="false" ht="15" hidden="false" customHeight="true" outlineLevel="0" collapsed="false">
      <c r="A319" s="36"/>
      <c r="B319" s="35"/>
      <c r="C319" s="35"/>
      <c r="D319" s="35"/>
      <c r="E319" s="61"/>
      <c r="F319" s="61"/>
      <c r="G319" s="58" t="str">
        <f aca="false">IF(OR(E319="",F319=""),"",(F319-E319)*24)</f>
        <v/>
      </c>
      <c r="H319" s="35"/>
      <c r="I319" s="35"/>
    </row>
    <row r="320" customFormat="false" ht="15" hidden="false" customHeight="true" outlineLevel="0" collapsed="false">
      <c r="A320" s="36"/>
      <c r="B320" s="35"/>
      <c r="C320" s="35"/>
      <c r="D320" s="35"/>
      <c r="E320" s="61"/>
      <c r="F320" s="61"/>
      <c r="G320" s="58" t="str">
        <f aca="false">IF(OR(E320="",F320=""),"",(F320-E320)*24)</f>
        <v/>
      </c>
      <c r="H320" s="35"/>
      <c r="I320" s="35"/>
    </row>
    <row r="321" customFormat="false" ht="15" hidden="false" customHeight="true" outlineLevel="0" collapsed="false">
      <c r="A321" s="36"/>
      <c r="B321" s="35"/>
      <c r="C321" s="35"/>
      <c r="D321" s="35"/>
      <c r="E321" s="61"/>
      <c r="F321" s="61"/>
      <c r="G321" s="58" t="str">
        <f aca="false">IF(OR(E321="",F321=""),"",(F321-E321)*24)</f>
        <v/>
      </c>
      <c r="H321" s="35"/>
      <c r="I321" s="35"/>
    </row>
    <row r="322" customFormat="false" ht="15" hidden="false" customHeight="true" outlineLevel="0" collapsed="false">
      <c r="A322" s="36"/>
      <c r="B322" s="35"/>
      <c r="C322" s="35"/>
      <c r="D322" s="35"/>
      <c r="E322" s="61"/>
      <c r="F322" s="61"/>
      <c r="G322" s="58" t="str">
        <f aca="false">IF(OR(E322="",F322=""),"",(F322-E322)*24)</f>
        <v/>
      </c>
      <c r="H322" s="35"/>
      <c r="I322" s="35"/>
    </row>
    <row r="323" customFormat="false" ht="15" hidden="false" customHeight="true" outlineLevel="0" collapsed="false">
      <c r="A323" s="36"/>
      <c r="B323" s="35"/>
      <c r="C323" s="35"/>
      <c r="D323" s="35"/>
      <c r="E323" s="61"/>
      <c r="F323" s="61"/>
      <c r="G323" s="58" t="str">
        <f aca="false">IF(OR(E323="",F323=""),"",(F323-E323)*24)</f>
        <v/>
      </c>
      <c r="H323" s="35"/>
      <c r="I323" s="35"/>
    </row>
    <row r="324" customFormat="false" ht="15" hidden="false" customHeight="true" outlineLevel="0" collapsed="false">
      <c r="A324" s="36"/>
      <c r="B324" s="35"/>
      <c r="C324" s="35"/>
      <c r="D324" s="35"/>
      <c r="E324" s="61"/>
      <c r="F324" s="61"/>
      <c r="G324" s="58" t="str">
        <f aca="false">IF(OR(E324="",F324=""),"",(F324-E324)*24)</f>
        <v/>
      </c>
      <c r="H324" s="35"/>
      <c r="I324" s="35"/>
    </row>
    <row r="325" customFormat="false" ht="15" hidden="false" customHeight="true" outlineLevel="0" collapsed="false">
      <c r="A325" s="36"/>
      <c r="B325" s="35"/>
      <c r="C325" s="35"/>
      <c r="D325" s="35"/>
      <c r="E325" s="61"/>
      <c r="F325" s="61"/>
      <c r="G325" s="58" t="str">
        <f aca="false">IF(OR(E325="",F325=""),"",(F325-E325)*24)</f>
        <v/>
      </c>
      <c r="H325" s="35"/>
      <c r="I325" s="35"/>
    </row>
    <row r="326" customFormat="false" ht="15" hidden="false" customHeight="true" outlineLevel="0" collapsed="false">
      <c r="A326" s="36"/>
      <c r="B326" s="35"/>
      <c r="C326" s="35"/>
      <c r="D326" s="35"/>
      <c r="E326" s="61"/>
      <c r="F326" s="61"/>
      <c r="G326" s="58" t="str">
        <f aca="false">IF(OR(E326="",F326=""),"",(F326-E326)*24)</f>
        <v/>
      </c>
      <c r="H326" s="35"/>
      <c r="I326" s="35"/>
    </row>
    <row r="327" customFormat="false" ht="15" hidden="false" customHeight="true" outlineLevel="0" collapsed="false">
      <c r="A327" s="36"/>
      <c r="B327" s="35"/>
      <c r="C327" s="35"/>
      <c r="D327" s="35"/>
      <c r="E327" s="61"/>
      <c r="F327" s="61"/>
      <c r="G327" s="58" t="str">
        <f aca="false">IF(OR(E327="",F327=""),"",(F327-E327)*24)</f>
        <v/>
      </c>
      <c r="H327" s="35"/>
      <c r="I327" s="35"/>
    </row>
    <row r="328" customFormat="false" ht="15" hidden="false" customHeight="true" outlineLevel="0" collapsed="false">
      <c r="A328" s="36"/>
      <c r="B328" s="35"/>
      <c r="C328" s="35"/>
      <c r="D328" s="35"/>
      <c r="E328" s="61"/>
      <c r="F328" s="61"/>
      <c r="G328" s="58" t="str">
        <f aca="false">IF(OR(E328="",F328=""),"",(F328-E328)*24)</f>
        <v/>
      </c>
      <c r="H328" s="35"/>
      <c r="I328" s="35"/>
    </row>
    <row r="329" customFormat="false" ht="15" hidden="false" customHeight="true" outlineLevel="0" collapsed="false">
      <c r="A329" s="36"/>
      <c r="B329" s="35"/>
      <c r="C329" s="35"/>
      <c r="D329" s="35"/>
      <c r="E329" s="61"/>
      <c r="F329" s="61"/>
      <c r="G329" s="58" t="str">
        <f aca="false">IF(OR(E329="",F329=""),"",(F329-E329)*24)</f>
        <v/>
      </c>
      <c r="H329" s="35"/>
      <c r="I329" s="35"/>
    </row>
    <row r="330" customFormat="false" ht="15" hidden="false" customHeight="true" outlineLevel="0" collapsed="false">
      <c r="A330" s="36"/>
      <c r="B330" s="35"/>
      <c r="C330" s="35"/>
      <c r="D330" s="35"/>
      <c r="E330" s="61"/>
      <c r="F330" s="61"/>
      <c r="G330" s="58" t="str">
        <f aca="false">IF(OR(E330="",F330=""),"",(F330-E330)*24)</f>
        <v/>
      </c>
      <c r="H330" s="35"/>
      <c r="I330" s="35"/>
    </row>
    <row r="331" customFormat="false" ht="15" hidden="false" customHeight="true" outlineLevel="0" collapsed="false">
      <c r="A331" s="36"/>
      <c r="B331" s="35"/>
      <c r="C331" s="35"/>
      <c r="D331" s="35"/>
      <c r="E331" s="61"/>
      <c r="F331" s="61"/>
      <c r="G331" s="58" t="str">
        <f aca="false">IF(OR(E331="",F331=""),"",(F331-E331)*24)</f>
        <v/>
      </c>
      <c r="H331" s="35"/>
      <c r="I331" s="35"/>
    </row>
    <row r="332" customFormat="false" ht="15" hidden="false" customHeight="true" outlineLevel="0" collapsed="false">
      <c r="A332" s="36"/>
      <c r="B332" s="35"/>
      <c r="C332" s="35"/>
      <c r="D332" s="35"/>
      <c r="E332" s="61"/>
      <c r="F332" s="61"/>
      <c r="G332" s="58" t="str">
        <f aca="false">IF(OR(E332="",F332=""),"",(F332-E332)*24)</f>
        <v/>
      </c>
      <c r="H332" s="35"/>
      <c r="I332" s="35"/>
    </row>
    <row r="333" customFormat="false" ht="15" hidden="false" customHeight="true" outlineLevel="0" collapsed="false">
      <c r="A333" s="36"/>
      <c r="B333" s="35"/>
      <c r="C333" s="35"/>
      <c r="D333" s="35"/>
      <c r="E333" s="61"/>
      <c r="F333" s="61"/>
      <c r="G333" s="58" t="str">
        <f aca="false">IF(OR(E333="",F333=""),"",(F333-E333)*24)</f>
        <v/>
      </c>
      <c r="H333" s="35"/>
      <c r="I333" s="35"/>
    </row>
    <row r="334" customFormat="false" ht="15" hidden="false" customHeight="true" outlineLevel="0" collapsed="false">
      <c r="A334" s="36"/>
      <c r="B334" s="35"/>
      <c r="C334" s="35"/>
      <c r="D334" s="35"/>
      <c r="E334" s="61"/>
      <c r="F334" s="61"/>
      <c r="G334" s="58" t="str">
        <f aca="false">IF(OR(E334="",F334=""),"",(F334-E334)*24)</f>
        <v/>
      </c>
      <c r="H334" s="35"/>
      <c r="I334" s="35"/>
    </row>
    <row r="335" customFormat="false" ht="15" hidden="false" customHeight="true" outlineLevel="0" collapsed="false">
      <c r="A335" s="36"/>
      <c r="B335" s="35"/>
      <c r="C335" s="35"/>
      <c r="D335" s="35"/>
      <c r="E335" s="61"/>
      <c r="F335" s="61"/>
      <c r="G335" s="58" t="str">
        <f aca="false">IF(OR(E335="",F335=""),"",(F335-E335)*24)</f>
        <v/>
      </c>
      <c r="H335" s="35"/>
      <c r="I335" s="35"/>
    </row>
    <row r="336" customFormat="false" ht="15" hidden="false" customHeight="true" outlineLevel="0" collapsed="false">
      <c r="A336" s="36"/>
      <c r="B336" s="35"/>
      <c r="C336" s="35"/>
      <c r="D336" s="35"/>
      <c r="E336" s="61"/>
      <c r="F336" s="61"/>
      <c r="G336" s="58" t="str">
        <f aca="false">IF(OR(E336="",F336=""),"",(F336-E336)*24)</f>
        <v/>
      </c>
      <c r="H336" s="35"/>
      <c r="I336" s="35"/>
    </row>
    <row r="337" customFormat="false" ht="15" hidden="false" customHeight="true" outlineLevel="0" collapsed="false">
      <c r="A337" s="36"/>
      <c r="B337" s="35"/>
      <c r="C337" s="35"/>
      <c r="D337" s="35"/>
      <c r="E337" s="61"/>
      <c r="F337" s="61"/>
      <c r="G337" s="58" t="str">
        <f aca="false">IF(OR(E337="",F337=""),"",(F337-E337)*24)</f>
        <v/>
      </c>
      <c r="H337" s="35"/>
      <c r="I337" s="35"/>
    </row>
    <row r="338" customFormat="false" ht="15" hidden="false" customHeight="true" outlineLevel="0" collapsed="false">
      <c r="A338" s="36"/>
      <c r="B338" s="35"/>
      <c r="C338" s="35"/>
      <c r="D338" s="35"/>
      <c r="E338" s="61"/>
      <c r="F338" s="61"/>
      <c r="G338" s="58" t="str">
        <f aca="false">IF(OR(E338="",F338=""),"",(F338-E338)*24)</f>
        <v/>
      </c>
      <c r="H338" s="35"/>
      <c r="I338" s="35"/>
    </row>
    <row r="339" customFormat="false" ht="15" hidden="false" customHeight="true" outlineLevel="0" collapsed="false">
      <c r="A339" s="36"/>
      <c r="B339" s="35"/>
      <c r="C339" s="35"/>
      <c r="D339" s="35"/>
      <c r="E339" s="61"/>
      <c r="F339" s="61"/>
      <c r="G339" s="58" t="str">
        <f aca="false">IF(OR(E339="",F339=""),"",(F339-E339)*24)</f>
        <v/>
      </c>
      <c r="H339" s="35"/>
      <c r="I339" s="35"/>
    </row>
    <row r="340" customFormat="false" ht="15" hidden="false" customHeight="true" outlineLevel="0" collapsed="false">
      <c r="A340" s="36"/>
      <c r="B340" s="35"/>
      <c r="C340" s="35"/>
      <c r="D340" s="35"/>
      <c r="E340" s="61"/>
      <c r="F340" s="61"/>
      <c r="G340" s="58" t="str">
        <f aca="false">IF(OR(E340="",F340=""),"",(F340-E340)*24)</f>
        <v/>
      </c>
      <c r="H340" s="35"/>
      <c r="I340" s="35"/>
    </row>
    <row r="341" customFormat="false" ht="15" hidden="false" customHeight="true" outlineLevel="0" collapsed="false">
      <c r="A341" s="36"/>
      <c r="B341" s="35"/>
      <c r="C341" s="35"/>
      <c r="D341" s="35"/>
      <c r="E341" s="61"/>
      <c r="F341" s="61"/>
      <c r="G341" s="58" t="str">
        <f aca="false">IF(OR(E341="",F341=""),"",(F341-E341)*24)</f>
        <v/>
      </c>
      <c r="H341" s="35"/>
      <c r="I341" s="35"/>
    </row>
    <row r="342" customFormat="false" ht="15" hidden="false" customHeight="true" outlineLevel="0" collapsed="false">
      <c r="A342" s="36"/>
      <c r="B342" s="35"/>
      <c r="C342" s="35"/>
      <c r="D342" s="35"/>
      <c r="E342" s="61"/>
      <c r="F342" s="61"/>
      <c r="G342" s="58" t="str">
        <f aca="false">IF(OR(E342="",F342=""),"",(F342-E342)*24)</f>
        <v/>
      </c>
      <c r="H342" s="35"/>
      <c r="I342" s="35"/>
    </row>
    <row r="343" customFormat="false" ht="15" hidden="false" customHeight="true" outlineLevel="0" collapsed="false">
      <c r="A343" s="36"/>
      <c r="B343" s="35"/>
      <c r="C343" s="35"/>
      <c r="D343" s="35"/>
      <c r="E343" s="61"/>
      <c r="F343" s="61"/>
      <c r="G343" s="58" t="str">
        <f aca="false">IF(OR(E343="",F343=""),"",(F343-E343)*24)</f>
        <v/>
      </c>
      <c r="H343" s="35"/>
      <c r="I343" s="35"/>
    </row>
    <row r="344" customFormat="false" ht="15" hidden="false" customHeight="true" outlineLevel="0" collapsed="false">
      <c r="A344" s="36"/>
      <c r="B344" s="35"/>
      <c r="C344" s="35"/>
      <c r="D344" s="35"/>
      <c r="E344" s="61"/>
      <c r="F344" s="61"/>
      <c r="G344" s="58" t="str">
        <f aca="false">IF(OR(E344="",F344=""),"",(F344-E344)*24)</f>
        <v/>
      </c>
      <c r="H344" s="35"/>
      <c r="I344" s="35"/>
    </row>
    <row r="345" customFormat="false" ht="15" hidden="false" customHeight="true" outlineLevel="0" collapsed="false">
      <c r="A345" s="36"/>
      <c r="B345" s="35"/>
      <c r="C345" s="35"/>
      <c r="D345" s="35"/>
      <c r="E345" s="61"/>
      <c r="F345" s="61"/>
      <c r="G345" s="58" t="str">
        <f aca="false">IF(OR(E345="",F345=""),"",(F345-E345)*24)</f>
        <v/>
      </c>
      <c r="H345" s="35"/>
      <c r="I345" s="35"/>
    </row>
    <row r="346" customFormat="false" ht="15" hidden="false" customHeight="true" outlineLevel="0" collapsed="false">
      <c r="A346" s="36"/>
      <c r="B346" s="35"/>
      <c r="C346" s="35"/>
      <c r="D346" s="35"/>
      <c r="E346" s="61"/>
      <c r="F346" s="61"/>
      <c r="G346" s="58" t="str">
        <f aca="false">IF(OR(E346="",F346=""),"",(F346-E346)*24)</f>
        <v/>
      </c>
      <c r="H346" s="35"/>
      <c r="I346" s="35"/>
    </row>
    <row r="347" customFormat="false" ht="15" hidden="false" customHeight="true" outlineLevel="0" collapsed="false">
      <c r="A347" s="36"/>
      <c r="B347" s="35"/>
      <c r="C347" s="35"/>
      <c r="D347" s="35"/>
      <c r="E347" s="61"/>
      <c r="F347" s="61"/>
      <c r="G347" s="58" t="str">
        <f aca="false">IF(OR(E347="",F347=""),"",(F347-E347)*24)</f>
        <v/>
      </c>
      <c r="H347" s="35"/>
      <c r="I347" s="35"/>
    </row>
    <row r="348" customFormat="false" ht="15" hidden="false" customHeight="true" outlineLevel="0" collapsed="false">
      <c r="A348" s="36"/>
      <c r="B348" s="35"/>
      <c r="C348" s="35"/>
      <c r="D348" s="35"/>
      <c r="E348" s="61"/>
      <c r="F348" s="61"/>
      <c r="G348" s="58" t="str">
        <f aca="false">IF(OR(E348="",F348=""),"",(F348-E348)*24)</f>
        <v/>
      </c>
      <c r="H348" s="35"/>
      <c r="I348" s="35"/>
    </row>
    <row r="349" customFormat="false" ht="15" hidden="false" customHeight="true" outlineLevel="0" collapsed="false">
      <c r="A349" s="36"/>
      <c r="B349" s="35"/>
      <c r="C349" s="35"/>
      <c r="D349" s="35"/>
      <c r="E349" s="61"/>
      <c r="F349" s="61"/>
      <c r="G349" s="58" t="str">
        <f aca="false">IF(OR(E349="",F349=""),"",(F349-E349)*24)</f>
        <v/>
      </c>
      <c r="H349" s="35"/>
      <c r="I349" s="35"/>
    </row>
    <row r="350" customFormat="false" ht="15" hidden="false" customHeight="true" outlineLevel="0" collapsed="false">
      <c r="A350" s="36"/>
      <c r="B350" s="35"/>
      <c r="C350" s="35"/>
      <c r="D350" s="35"/>
      <c r="E350" s="61"/>
      <c r="F350" s="61"/>
      <c r="G350" s="58" t="str">
        <f aca="false">IF(OR(E350="",F350=""),"",(F350-E350)*24)</f>
        <v/>
      </c>
      <c r="H350" s="35"/>
      <c r="I350" s="35"/>
    </row>
    <row r="351" customFormat="false" ht="15" hidden="false" customHeight="true" outlineLevel="0" collapsed="false">
      <c r="A351" s="36"/>
      <c r="B351" s="35"/>
      <c r="C351" s="35"/>
      <c r="D351" s="35"/>
      <c r="E351" s="61"/>
      <c r="F351" s="61"/>
      <c r="G351" s="58" t="str">
        <f aca="false">IF(OR(E351="",F351=""),"",(F351-E351)*24)</f>
        <v/>
      </c>
      <c r="H351" s="35"/>
      <c r="I351" s="35"/>
    </row>
    <row r="352" customFormat="false" ht="15" hidden="false" customHeight="true" outlineLevel="0" collapsed="false">
      <c r="A352" s="36"/>
      <c r="B352" s="35"/>
      <c r="C352" s="35"/>
      <c r="D352" s="35"/>
      <c r="E352" s="61"/>
      <c r="F352" s="61"/>
      <c r="G352" s="58" t="str">
        <f aca="false">IF(OR(E352="",F352=""),"",(F352-E352)*24)</f>
        <v/>
      </c>
      <c r="H352" s="35"/>
      <c r="I352" s="35"/>
    </row>
    <row r="353" customFormat="false" ht="15" hidden="false" customHeight="true" outlineLevel="0" collapsed="false">
      <c r="A353" s="36"/>
      <c r="B353" s="35"/>
      <c r="C353" s="35"/>
      <c r="D353" s="35"/>
      <c r="E353" s="61"/>
      <c r="F353" s="61"/>
      <c r="G353" s="58" t="str">
        <f aca="false">IF(OR(E353="",F353=""),"",(F353-E353)*24)</f>
        <v/>
      </c>
      <c r="H353" s="35"/>
      <c r="I353" s="35"/>
    </row>
    <row r="354" customFormat="false" ht="15" hidden="false" customHeight="true" outlineLevel="0" collapsed="false">
      <c r="A354" s="36"/>
      <c r="B354" s="35"/>
      <c r="C354" s="35"/>
      <c r="D354" s="35"/>
      <c r="E354" s="61"/>
      <c r="F354" s="61"/>
      <c r="G354" s="58" t="str">
        <f aca="false">IF(OR(E354="",F354=""),"",(F354-E354)*24)</f>
        <v/>
      </c>
      <c r="H354" s="35"/>
      <c r="I354" s="35"/>
    </row>
    <row r="355" customFormat="false" ht="15" hidden="false" customHeight="true" outlineLevel="0" collapsed="false">
      <c r="A355" s="36"/>
      <c r="B355" s="35"/>
      <c r="C355" s="35"/>
      <c r="D355" s="35"/>
      <c r="E355" s="61"/>
      <c r="F355" s="61"/>
      <c r="G355" s="58" t="str">
        <f aca="false">IF(OR(E355="",F355=""),"",(F355-E355)*24)</f>
        <v/>
      </c>
      <c r="H355" s="35"/>
      <c r="I355" s="35"/>
    </row>
    <row r="356" customFormat="false" ht="15" hidden="false" customHeight="true" outlineLevel="0" collapsed="false">
      <c r="A356" s="36"/>
      <c r="B356" s="35"/>
      <c r="C356" s="35"/>
      <c r="D356" s="35"/>
      <c r="E356" s="61"/>
      <c r="F356" s="61"/>
      <c r="G356" s="58" t="str">
        <f aca="false">IF(OR(E356="",F356=""),"",(F356-E356)*24)</f>
        <v/>
      </c>
      <c r="H356" s="35"/>
      <c r="I356" s="35"/>
    </row>
    <row r="357" customFormat="false" ht="15" hidden="false" customHeight="true" outlineLevel="0" collapsed="false">
      <c r="A357" s="36"/>
      <c r="B357" s="35"/>
      <c r="C357" s="35"/>
      <c r="D357" s="35"/>
      <c r="E357" s="61"/>
      <c r="F357" s="61"/>
      <c r="G357" s="58" t="str">
        <f aca="false">IF(OR(E357="",F357=""),"",(F357-E357)*24)</f>
        <v/>
      </c>
      <c r="H357" s="35"/>
      <c r="I357" s="35"/>
    </row>
    <row r="358" customFormat="false" ht="15" hidden="false" customHeight="true" outlineLevel="0" collapsed="false">
      <c r="A358" s="36"/>
      <c r="B358" s="35"/>
      <c r="C358" s="35"/>
      <c r="D358" s="35"/>
      <c r="E358" s="61"/>
      <c r="F358" s="61"/>
      <c r="G358" s="58" t="str">
        <f aca="false">IF(OR(E358="",F358=""),"",(F358-E358)*24)</f>
        <v/>
      </c>
      <c r="H358" s="35"/>
      <c r="I358" s="35"/>
    </row>
    <row r="359" customFormat="false" ht="15" hidden="false" customHeight="true" outlineLevel="0" collapsed="false">
      <c r="A359" s="36"/>
      <c r="B359" s="35"/>
      <c r="C359" s="35"/>
      <c r="D359" s="35"/>
      <c r="E359" s="61"/>
      <c r="F359" s="61"/>
      <c r="G359" s="58" t="str">
        <f aca="false">IF(OR(E359="",F359=""),"",(F359-E359)*24)</f>
        <v/>
      </c>
      <c r="H359" s="35"/>
      <c r="I359" s="35"/>
    </row>
    <row r="360" customFormat="false" ht="15" hidden="false" customHeight="true" outlineLevel="0" collapsed="false">
      <c r="A360" s="36"/>
      <c r="B360" s="35"/>
      <c r="C360" s="35"/>
      <c r="D360" s="35"/>
      <c r="E360" s="61"/>
      <c r="F360" s="61"/>
      <c r="G360" s="58" t="str">
        <f aca="false">IF(OR(E360="",F360=""),"",(F360-E360)*24)</f>
        <v/>
      </c>
      <c r="H360" s="35"/>
      <c r="I360" s="35"/>
    </row>
    <row r="361" customFormat="false" ht="15" hidden="false" customHeight="true" outlineLevel="0" collapsed="false">
      <c r="A361" s="36"/>
      <c r="B361" s="35"/>
      <c r="C361" s="35"/>
      <c r="D361" s="35"/>
      <c r="E361" s="61"/>
      <c r="F361" s="61"/>
      <c r="G361" s="58" t="str">
        <f aca="false">IF(OR(E361="",F361=""),"",(F361-E361)*24)</f>
        <v/>
      </c>
      <c r="H361" s="35"/>
      <c r="I361" s="35"/>
    </row>
    <row r="362" customFormat="false" ht="15" hidden="false" customHeight="true" outlineLevel="0" collapsed="false">
      <c r="A362" s="36"/>
      <c r="B362" s="35"/>
      <c r="C362" s="35"/>
      <c r="D362" s="35"/>
      <c r="E362" s="61"/>
      <c r="F362" s="61"/>
      <c r="G362" s="58" t="str">
        <f aca="false">IF(OR(E362="",F362=""),"",(F362-E362)*24)</f>
        <v/>
      </c>
      <c r="H362" s="35"/>
      <c r="I362" s="35"/>
    </row>
    <row r="363" customFormat="false" ht="15" hidden="false" customHeight="true" outlineLevel="0" collapsed="false">
      <c r="A363" s="36"/>
      <c r="B363" s="35"/>
      <c r="C363" s="35"/>
      <c r="D363" s="35"/>
      <c r="E363" s="61"/>
      <c r="F363" s="61"/>
      <c r="G363" s="58" t="str">
        <f aca="false">IF(OR(E363="",F363=""),"",(F363-E363)*24)</f>
        <v/>
      </c>
      <c r="H363" s="35"/>
      <c r="I363" s="35"/>
    </row>
    <row r="364" customFormat="false" ht="15" hidden="false" customHeight="true" outlineLevel="0" collapsed="false">
      <c r="A364" s="36"/>
      <c r="B364" s="35"/>
      <c r="C364" s="35"/>
      <c r="D364" s="35"/>
      <c r="E364" s="61"/>
      <c r="F364" s="61"/>
      <c r="G364" s="58" t="str">
        <f aca="false">IF(OR(E364="",F364=""),"",(F364-E364)*24)</f>
        <v/>
      </c>
      <c r="H364" s="35"/>
      <c r="I364" s="35"/>
    </row>
    <row r="365" customFormat="false" ht="15" hidden="false" customHeight="true" outlineLevel="0" collapsed="false">
      <c r="A365" s="36"/>
      <c r="B365" s="35"/>
      <c r="C365" s="35"/>
      <c r="D365" s="35"/>
      <c r="E365" s="61"/>
      <c r="F365" s="61"/>
      <c r="G365" s="58" t="str">
        <f aca="false">IF(OR(E365="",F365=""),"",(F365-E365)*24)</f>
        <v/>
      </c>
      <c r="H365" s="35"/>
      <c r="I365" s="35"/>
    </row>
    <row r="366" customFormat="false" ht="15" hidden="false" customHeight="true" outlineLevel="0" collapsed="false">
      <c r="A366" s="36"/>
      <c r="B366" s="35"/>
      <c r="C366" s="35"/>
      <c r="D366" s="35"/>
      <c r="E366" s="61"/>
      <c r="F366" s="61"/>
      <c r="G366" s="58" t="str">
        <f aca="false">IF(OR(E366="",F366=""),"",(F366-E366)*24)</f>
        <v/>
      </c>
      <c r="H366" s="35"/>
      <c r="I366" s="35"/>
    </row>
    <row r="367" customFormat="false" ht="15" hidden="false" customHeight="true" outlineLevel="0" collapsed="false">
      <c r="A367" s="36"/>
      <c r="B367" s="35"/>
      <c r="C367" s="35"/>
      <c r="D367" s="35"/>
      <c r="E367" s="61"/>
      <c r="F367" s="61"/>
      <c r="G367" s="58" t="str">
        <f aca="false">IF(OR(E367="",F367=""),"",(F367-E367)*24)</f>
        <v/>
      </c>
      <c r="H367" s="35"/>
      <c r="I367" s="35"/>
    </row>
    <row r="368" customFormat="false" ht="15" hidden="false" customHeight="true" outlineLevel="0" collapsed="false">
      <c r="A368" s="36"/>
      <c r="B368" s="35"/>
      <c r="C368" s="35"/>
      <c r="D368" s="35"/>
      <c r="E368" s="61"/>
      <c r="F368" s="61"/>
      <c r="G368" s="58" t="str">
        <f aca="false">IF(OR(E368="",F368=""),"",(F368-E368)*24)</f>
        <v/>
      </c>
      <c r="H368" s="35"/>
      <c r="I368" s="35"/>
    </row>
    <row r="369" customFormat="false" ht="15" hidden="false" customHeight="true" outlineLevel="0" collapsed="false">
      <c r="A369" s="36"/>
      <c r="B369" s="35"/>
      <c r="C369" s="35"/>
      <c r="D369" s="35"/>
      <c r="E369" s="61"/>
      <c r="F369" s="61"/>
      <c r="G369" s="58" t="str">
        <f aca="false">IF(OR(E369="",F369=""),"",(F369-E369)*24)</f>
        <v/>
      </c>
      <c r="H369" s="35"/>
      <c r="I369" s="35"/>
    </row>
    <row r="370" customFormat="false" ht="15" hidden="false" customHeight="true" outlineLevel="0" collapsed="false">
      <c r="A370" s="36"/>
      <c r="B370" s="35"/>
      <c r="C370" s="35"/>
      <c r="D370" s="35"/>
      <c r="E370" s="61"/>
      <c r="F370" s="61"/>
      <c r="G370" s="58" t="str">
        <f aca="false">IF(OR(E370="",F370=""),"",(F370-E370)*24)</f>
        <v/>
      </c>
      <c r="H370" s="35"/>
      <c r="I370" s="35"/>
    </row>
    <row r="371" customFormat="false" ht="15" hidden="false" customHeight="true" outlineLevel="0" collapsed="false">
      <c r="A371" s="36"/>
      <c r="B371" s="35"/>
      <c r="C371" s="35"/>
      <c r="D371" s="35"/>
      <c r="E371" s="61"/>
      <c r="F371" s="61"/>
      <c r="G371" s="58" t="str">
        <f aca="false">IF(OR(E371="",F371=""),"",(F371-E371)*24)</f>
        <v/>
      </c>
      <c r="H371" s="35"/>
      <c r="I371" s="35"/>
    </row>
    <row r="372" customFormat="false" ht="15" hidden="false" customHeight="true" outlineLevel="0" collapsed="false">
      <c r="A372" s="36"/>
      <c r="B372" s="35"/>
      <c r="C372" s="35"/>
      <c r="D372" s="35"/>
      <c r="E372" s="61"/>
      <c r="F372" s="61"/>
      <c r="G372" s="58" t="str">
        <f aca="false">IF(OR(E372="",F372=""),"",(F372-E372)*24)</f>
        <v/>
      </c>
      <c r="H372" s="35"/>
      <c r="I372" s="35"/>
    </row>
    <row r="373" customFormat="false" ht="15" hidden="false" customHeight="true" outlineLevel="0" collapsed="false">
      <c r="A373" s="36"/>
      <c r="B373" s="35"/>
      <c r="C373" s="35"/>
      <c r="D373" s="35"/>
      <c r="E373" s="61"/>
      <c r="F373" s="61"/>
      <c r="G373" s="58" t="str">
        <f aca="false">IF(OR(E373="",F373=""),"",(F373-E373)*24)</f>
        <v/>
      </c>
      <c r="H373" s="35"/>
      <c r="I373" s="35"/>
    </row>
    <row r="374" customFormat="false" ht="15" hidden="false" customHeight="true" outlineLevel="0" collapsed="false">
      <c r="A374" s="36"/>
      <c r="B374" s="35"/>
      <c r="C374" s="35"/>
      <c r="D374" s="35"/>
      <c r="E374" s="61"/>
      <c r="F374" s="61"/>
      <c r="G374" s="58" t="str">
        <f aca="false">IF(OR(E374="",F374=""),"",(F374-E374)*24)</f>
        <v/>
      </c>
      <c r="H374" s="35"/>
      <c r="I374" s="35"/>
    </row>
    <row r="375" customFormat="false" ht="15" hidden="false" customHeight="true" outlineLevel="0" collapsed="false">
      <c r="A375" s="36"/>
      <c r="B375" s="35"/>
      <c r="C375" s="35"/>
      <c r="D375" s="35"/>
      <c r="E375" s="61"/>
      <c r="F375" s="61"/>
      <c r="G375" s="58" t="str">
        <f aca="false">IF(OR(E375="",F375=""),"",(F375-E375)*24)</f>
        <v/>
      </c>
      <c r="H375" s="35"/>
      <c r="I375" s="35"/>
    </row>
    <row r="376" customFormat="false" ht="15" hidden="false" customHeight="true" outlineLevel="0" collapsed="false">
      <c r="A376" s="36"/>
      <c r="B376" s="35"/>
      <c r="C376" s="35"/>
      <c r="D376" s="35"/>
      <c r="E376" s="61"/>
      <c r="F376" s="61"/>
      <c r="G376" s="58" t="str">
        <f aca="false">IF(OR(E376="",F376=""),"",(F376-E376)*24)</f>
        <v/>
      </c>
      <c r="H376" s="35"/>
      <c r="I376" s="35"/>
    </row>
    <row r="377" customFormat="false" ht="15" hidden="false" customHeight="true" outlineLevel="0" collapsed="false">
      <c r="A377" s="36"/>
      <c r="B377" s="35"/>
      <c r="C377" s="35"/>
      <c r="D377" s="35"/>
      <c r="E377" s="61"/>
      <c r="F377" s="61"/>
      <c r="G377" s="58" t="str">
        <f aca="false">IF(OR(E377="",F377=""),"",(F377-E377)*24)</f>
        <v/>
      </c>
      <c r="H377" s="35"/>
      <c r="I377" s="35"/>
    </row>
    <row r="378" customFormat="false" ht="15" hidden="false" customHeight="true" outlineLevel="0" collapsed="false">
      <c r="A378" s="36"/>
      <c r="B378" s="35"/>
      <c r="C378" s="35"/>
      <c r="D378" s="35"/>
      <c r="E378" s="61"/>
      <c r="F378" s="61"/>
      <c r="G378" s="58" t="str">
        <f aca="false">IF(OR(E378="",F378=""),"",(F378-E378)*24)</f>
        <v/>
      </c>
      <c r="H378" s="35"/>
      <c r="I378" s="35"/>
    </row>
    <row r="379" customFormat="false" ht="15" hidden="false" customHeight="true" outlineLevel="0" collapsed="false">
      <c r="A379" s="36"/>
      <c r="B379" s="35"/>
      <c r="C379" s="35"/>
      <c r="D379" s="35"/>
      <c r="E379" s="61"/>
      <c r="F379" s="61"/>
      <c r="G379" s="58" t="str">
        <f aca="false">IF(OR(E379="",F379=""),"",(F379-E379)*24)</f>
        <v/>
      </c>
      <c r="H379" s="35"/>
      <c r="I379" s="35"/>
    </row>
    <row r="380" customFormat="false" ht="15" hidden="false" customHeight="true" outlineLevel="0" collapsed="false">
      <c r="A380" s="36"/>
      <c r="B380" s="35"/>
      <c r="C380" s="35"/>
      <c r="D380" s="35"/>
      <c r="E380" s="61"/>
      <c r="F380" s="61"/>
      <c r="G380" s="58" t="str">
        <f aca="false">IF(OR(E380="",F380=""),"",(F380-E380)*24)</f>
        <v/>
      </c>
      <c r="H380" s="35"/>
      <c r="I380" s="35"/>
    </row>
    <row r="381" customFormat="false" ht="15" hidden="false" customHeight="true" outlineLevel="0" collapsed="false">
      <c r="A381" s="36"/>
      <c r="B381" s="35"/>
      <c r="C381" s="35"/>
      <c r="D381" s="35"/>
      <c r="E381" s="61"/>
      <c r="F381" s="61"/>
      <c r="G381" s="58" t="str">
        <f aca="false">IF(OR(E381="",F381=""),"",(F381-E381)*24)</f>
        <v/>
      </c>
      <c r="H381" s="35"/>
      <c r="I381" s="35"/>
    </row>
    <row r="382" customFormat="false" ht="15" hidden="false" customHeight="true" outlineLevel="0" collapsed="false">
      <c r="A382" s="36"/>
      <c r="B382" s="35"/>
      <c r="C382" s="35"/>
      <c r="D382" s="35"/>
      <c r="E382" s="61"/>
      <c r="F382" s="61"/>
      <c r="G382" s="58" t="str">
        <f aca="false">IF(OR(E382="",F382=""),"",(F382-E382)*24)</f>
        <v/>
      </c>
      <c r="H382" s="35"/>
      <c r="I382" s="35"/>
    </row>
    <row r="383" customFormat="false" ht="15" hidden="false" customHeight="true" outlineLevel="0" collapsed="false">
      <c r="A383" s="36"/>
      <c r="B383" s="35"/>
      <c r="C383" s="35"/>
      <c r="D383" s="35"/>
      <c r="E383" s="61"/>
      <c r="F383" s="61"/>
      <c r="G383" s="58" t="str">
        <f aca="false">IF(OR(E383="",F383=""),"",(F383-E383)*24)</f>
        <v/>
      </c>
      <c r="H383" s="35"/>
      <c r="I383" s="35"/>
    </row>
    <row r="384" customFormat="false" ht="15" hidden="false" customHeight="true" outlineLevel="0" collapsed="false">
      <c r="A384" s="36"/>
      <c r="B384" s="35"/>
      <c r="C384" s="35"/>
      <c r="D384" s="35"/>
      <c r="E384" s="61"/>
      <c r="F384" s="61"/>
      <c r="G384" s="58" t="str">
        <f aca="false">IF(OR(E384="",F384=""),"",(F384-E384)*24)</f>
        <v/>
      </c>
      <c r="H384" s="35"/>
      <c r="I384" s="35"/>
    </row>
    <row r="385" customFormat="false" ht="15" hidden="false" customHeight="true" outlineLevel="0" collapsed="false">
      <c r="A385" s="36"/>
      <c r="B385" s="35"/>
      <c r="C385" s="35"/>
      <c r="D385" s="35"/>
      <c r="E385" s="61"/>
      <c r="F385" s="61"/>
      <c r="G385" s="58" t="str">
        <f aca="false">IF(OR(E385="",F385=""),"",(F385-E385)*24)</f>
        <v/>
      </c>
      <c r="H385" s="35"/>
      <c r="I385" s="35"/>
    </row>
    <row r="386" customFormat="false" ht="15" hidden="false" customHeight="true" outlineLevel="0" collapsed="false">
      <c r="A386" s="36"/>
      <c r="B386" s="35"/>
      <c r="C386" s="35"/>
      <c r="D386" s="35"/>
      <c r="E386" s="61"/>
      <c r="F386" s="61"/>
      <c r="G386" s="58" t="str">
        <f aca="false">IF(OR(E386="",F386=""),"",(F386-E386)*24)</f>
        <v/>
      </c>
      <c r="H386" s="35"/>
      <c r="I386" s="35"/>
    </row>
    <row r="387" customFormat="false" ht="15" hidden="false" customHeight="true" outlineLevel="0" collapsed="false">
      <c r="A387" s="36"/>
      <c r="B387" s="35"/>
      <c r="C387" s="35"/>
      <c r="D387" s="35"/>
      <c r="E387" s="61"/>
      <c r="F387" s="61"/>
      <c r="G387" s="58" t="str">
        <f aca="false">IF(OR(E387="",F387=""),"",(F387-E387)*24)</f>
        <v/>
      </c>
      <c r="H387" s="35"/>
      <c r="I387" s="35"/>
    </row>
    <row r="388" customFormat="false" ht="15" hidden="false" customHeight="true" outlineLevel="0" collapsed="false">
      <c r="A388" s="36"/>
      <c r="B388" s="35"/>
      <c r="C388" s="35"/>
      <c r="D388" s="35"/>
      <c r="E388" s="61"/>
      <c r="F388" s="61"/>
      <c r="G388" s="58" t="str">
        <f aca="false">IF(OR(E388="",F388=""),"",(F388-E388)*24)</f>
        <v/>
      </c>
      <c r="H388" s="35"/>
      <c r="I388" s="35"/>
    </row>
    <row r="389" customFormat="false" ht="15" hidden="false" customHeight="true" outlineLevel="0" collapsed="false">
      <c r="A389" s="36"/>
      <c r="B389" s="35"/>
      <c r="C389" s="35"/>
      <c r="D389" s="35"/>
      <c r="E389" s="61"/>
      <c r="F389" s="61"/>
      <c r="G389" s="58" t="str">
        <f aca="false">IF(OR(E389="",F389=""),"",(F389-E389)*24)</f>
        <v/>
      </c>
      <c r="H389" s="35"/>
      <c r="I389" s="35"/>
    </row>
    <row r="390" customFormat="false" ht="15" hidden="false" customHeight="true" outlineLevel="0" collapsed="false">
      <c r="A390" s="36"/>
      <c r="B390" s="35"/>
      <c r="C390" s="35"/>
      <c r="D390" s="35"/>
      <c r="E390" s="61"/>
      <c r="F390" s="61"/>
      <c r="G390" s="58" t="str">
        <f aca="false">IF(OR(E390="",F390=""),"",(F390-E390)*24)</f>
        <v/>
      </c>
      <c r="H390" s="35"/>
      <c r="I390" s="35"/>
    </row>
    <row r="391" customFormat="false" ht="15" hidden="false" customHeight="true" outlineLevel="0" collapsed="false">
      <c r="A391" s="36"/>
      <c r="B391" s="35"/>
      <c r="C391" s="35"/>
      <c r="D391" s="35"/>
      <c r="E391" s="61"/>
      <c r="F391" s="61"/>
      <c r="G391" s="58" t="str">
        <f aca="false">IF(OR(E391="",F391=""),"",(F391-E391)*24)</f>
        <v/>
      </c>
      <c r="H391" s="35"/>
      <c r="I391" s="35"/>
    </row>
    <row r="392" customFormat="false" ht="15" hidden="false" customHeight="true" outlineLevel="0" collapsed="false">
      <c r="A392" s="36"/>
      <c r="B392" s="35"/>
      <c r="C392" s="35"/>
      <c r="D392" s="35"/>
      <c r="E392" s="61"/>
      <c r="F392" s="61"/>
      <c r="G392" s="58" t="str">
        <f aca="false">IF(OR(E392="",F392=""),"",(F392-E392)*24)</f>
        <v/>
      </c>
      <c r="H392" s="35"/>
      <c r="I392" s="35"/>
    </row>
    <row r="393" customFormat="false" ht="15" hidden="false" customHeight="true" outlineLevel="0" collapsed="false">
      <c r="A393" s="36"/>
      <c r="B393" s="35"/>
      <c r="C393" s="35"/>
      <c r="D393" s="35"/>
      <c r="E393" s="61"/>
      <c r="F393" s="61"/>
      <c r="G393" s="58" t="str">
        <f aca="false">IF(OR(E393="",F393=""),"",(F393-E393)*24)</f>
        <v/>
      </c>
      <c r="H393" s="35"/>
      <c r="I393" s="35"/>
    </row>
    <row r="394" customFormat="false" ht="15" hidden="false" customHeight="true" outlineLevel="0" collapsed="false">
      <c r="A394" s="36"/>
      <c r="B394" s="35"/>
      <c r="C394" s="35"/>
      <c r="D394" s="35"/>
      <c r="E394" s="61"/>
      <c r="F394" s="61"/>
      <c r="G394" s="58" t="str">
        <f aca="false">IF(OR(E394="",F394=""),"",(F394-E394)*24)</f>
        <v/>
      </c>
      <c r="H394" s="35"/>
      <c r="I394" s="35"/>
    </row>
    <row r="395" customFormat="false" ht="15" hidden="false" customHeight="true" outlineLevel="0" collapsed="false">
      <c r="A395" s="36"/>
      <c r="B395" s="35"/>
      <c r="C395" s="35"/>
      <c r="D395" s="35"/>
      <c r="E395" s="61"/>
      <c r="F395" s="61"/>
      <c r="G395" s="58" t="str">
        <f aca="false">IF(OR(E395="",F395=""),"",(F395-E395)*24)</f>
        <v/>
      </c>
      <c r="H395" s="35"/>
      <c r="I395" s="35"/>
    </row>
    <row r="396" customFormat="false" ht="15" hidden="false" customHeight="true" outlineLevel="0" collapsed="false">
      <c r="A396" s="36"/>
      <c r="B396" s="35"/>
      <c r="C396" s="35"/>
      <c r="D396" s="35"/>
      <c r="E396" s="61"/>
      <c r="F396" s="61"/>
      <c r="G396" s="58" t="str">
        <f aca="false">IF(OR(E396="",F396=""),"",(F396-E396)*24)</f>
        <v/>
      </c>
      <c r="H396" s="35"/>
      <c r="I396" s="35"/>
    </row>
    <row r="397" customFormat="false" ht="15" hidden="false" customHeight="true" outlineLevel="0" collapsed="false">
      <c r="A397" s="36"/>
      <c r="B397" s="35"/>
      <c r="C397" s="35"/>
      <c r="D397" s="35"/>
      <c r="E397" s="61"/>
      <c r="F397" s="61"/>
      <c r="G397" s="58" t="str">
        <f aca="false">IF(OR(E397="",F397=""),"",(F397-E397)*24)</f>
        <v/>
      </c>
      <c r="H397" s="35"/>
      <c r="I397" s="35"/>
    </row>
    <row r="398" customFormat="false" ht="15" hidden="false" customHeight="true" outlineLevel="0" collapsed="false">
      <c r="A398" s="36"/>
      <c r="B398" s="35"/>
      <c r="C398" s="35"/>
      <c r="D398" s="35"/>
      <c r="E398" s="61"/>
      <c r="F398" s="61"/>
      <c r="G398" s="58" t="str">
        <f aca="false">IF(OR(E398="",F398=""),"",(F398-E398)*24)</f>
        <v/>
      </c>
      <c r="H398" s="35"/>
      <c r="I398" s="35"/>
    </row>
    <row r="399" customFormat="false" ht="15" hidden="false" customHeight="true" outlineLevel="0" collapsed="false">
      <c r="A399" s="36"/>
      <c r="B399" s="35"/>
      <c r="C399" s="35"/>
      <c r="D399" s="35"/>
      <c r="E399" s="61"/>
      <c r="F399" s="61"/>
      <c r="G399" s="58" t="str">
        <f aca="false">IF(OR(E399="",F399=""),"",(F399-E399)*24)</f>
        <v/>
      </c>
      <c r="H399" s="35"/>
      <c r="I399" s="35"/>
    </row>
    <row r="400" customFormat="false" ht="15" hidden="false" customHeight="true" outlineLevel="0" collapsed="false">
      <c r="A400" s="36"/>
      <c r="B400" s="35"/>
      <c r="C400" s="35"/>
      <c r="D400" s="35"/>
      <c r="E400" s="61"/>
      <c r="F400" s="61"/>
      <c r="G400" s="58" t="str">
        <f aca="false">IF(OR(E400="",F400=""),"",(F400-E400)*24)</f>
        <v/>
      </c>
      <c r="H400" s="35"/>
      <c r="I400" s="35"/>
    </row>
  </sheetData>
  <autoFilter ref="A2:I400"/>
  <mergeCells count="1">
    <mergeCell ref="A1:I1"/>
  </mergeCells>
  <conditionalFormatting sqref="H3:H400">
    <cfRule type="expression" priority="2" aboveAverage="0" equalAverage="0" bottom="0" percent="0" rank="0" text="" dxfId="10">
      <formula>$H3="Present"</formula>
    </cfRule>
    <cfRule type="expression" priority="3" aboveAverage="0" equalAverage="0" bottom="0" percent="0" rank="0" text="" dxfId="11">
      <formula>$H3="Late"</formula>
    </cfRule>
    <cfRule type="expression" priority="4" aboveAverage="0" equalAverage="0" bottom="0" percent="0" rank="0" text="" dxfId="11">
      <formula>$H3="Half-Day"</formula>
    </cfRule>
    <cfRule type="expression" priority="5" aboveAverage="0" equalAverage="0" bottom="0" percent="0" rank="0" text="" dxfId="18">
      <formula>$H3="Absent"</formula>
    </cfRule>
    <cfRule type="expression" priority="6" aboveAverage="0" equalAverage="0" bottom="0" percent="0" rank="0" text="" dxfId="18">
      <formula>$H3="Sick"</formula>
    </cfRule>
    <cfRule type="expression" priority="7" aboveAverage="0" equalAverage="0" bottom="0" percent="0" rank="0" text="" dxfId="12">
      <formula>$H3="Leave"</formula>
    </cfRule>
  </conditionalFormatting>
  <dataValidations count="3">
    <dataValidation allowBlank="true" errorStyle="stop" operator="between" showDropDown="false" showErrorMessage="false" showInputMessage="false" sqref="D3:D400" type="list">
      <formula1>"Factory,Outside / Site,Both"</formula1>
      <formula2>0</formula2>
    </dataValidation>
    <dataValidation allowBlank="true" errorStyle="stop" operator="between" showDropDown="false" showErrorMessage="false" showInputMessage="false" sqref="C3:C400" type="list">
      <formula1>"Driver,Machine Cutter,Chamfer,Helper,Installer,Mason / Fixer,Polisher,Other"</formula1>
      <formula2>0</formula2>
    </dataValidation>
    <dataValidation allowBlank="true" errorStyle="stop" operator="between" showDropDown="false" showErrorMessage="false" showInputMessage="false" sqref="H3:H400" type="list">
      <formula1>"Present,Late,Absent,Half-Day,Leave,Sick"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32"/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5" min="4" style="1" width="16"/>
    <col collapsed="false" customWidth="true" hidden="false" outlineLevel="0" max="6" min="6" style="1" width="10"/>
    <col collapsed="false" customWidth="true" hidden="false" outlineLevel="0" max="9" min="7" style="1" width="12"/>
    <col collapsed="false" customWidth="true" hidden="false" outlineLevel="0" max="10" min="10" style="1" width="30"/>
  </cols>
  <sheetData>
    <row r="1" customFormat="false" ht="30" hidden="false" customHeight="true" outlineLevel="0" collapsed="false">
      <c r="A1" s="2" t="s">
        <v>781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0" hidden="false" customHeight="true" outlineLevel="0" collapsed="false">
      <c r="A2" s="16" t="s">
        <v>782</v>
      </c>
      <c r="B2" s="16" t="s">
        <v>783</v>
      </c>
      <c r="C2" s="16" t="s">
        <v>743</v>
      </c>
      <c r="D2" s="16" t="s">
        <v>784</v>
      </c>
      <c r="E2" s="16" t="s">
        <v>785</v>
      </c>
      <c r="F2" s="16" t="s">
        <v>786</v>
      </c>
      <c r="G2" s="16" t="s">
        <v>787</v>
      </c>
      <c r="H2" s="16" t="s">
        <v>788</v>
      </c>
      <c r="I2" s="16" t="s">
        <v>726</v>
      </c>
      <c r="J2" s="16" t="s">
        <v>43</v>
      </c>
    </row>
    <row r="3" customFormat="false" ht="15" hidden="false" customHeight="true" outlineLevel="0" collapsed="false">
      <c r="A3" s="17" t="s">
        <v>789</v>
      </c>
      <c r="B3" s="43" t="s">
        <v>727</v>
      </c>
      <c r="C3" s="19" t="s">
        <v>749</v>
      </c>
      <c r="D3" s="19" t="s">
        <v>771</v>
      </c>
      <c r="E3" s="43"/>
      <c r="F3" s="62"/>
      <c r="G3" s="19" t="s">
        <v>790</v>
      </c>
      <c r="H3" s="25"/>
      <c r="I3" s="17" t="s">
        <v>791</v>
      </c>
      <c r="J3" s="20" t="s">
        <v>792</v>
      </c>
    </row>
    <row r="4" customFormat="false" ht="23.25" hidden="false" customHeight="true" outlineLevel="0" collapsed="false">
      <c r="A4" s="17" t="s">
        <v>793</v>
      </c>
      <c r="B4" s="43" t="s">
        <v>730</v>
      </c>
      <c r="C4" s="19" t="s">
        <v>794</v>
      </c>
      <c r="D4" s="19" t="s">
        <v>771</v>
      </c>
      <c r="E4" s="43"/>
      <c r="F4" s="62"/>
      <c r="G4" s="19" t="s">
        <v>790</v>
      </c>
      <c r="H4" s="25"/>
      <c r="I4" s="17" t="s">
        <v>791</v>
      </c>
      <c r="J4" s="20" t="s">
        <v>795</v>
      </c>
    </row>
    <row r="5" customFormat="false" ht="23.25" hidden="false" customHeight="true" outlineLevel="0" collapsed="false">
      <c r="A5" s="17" t="s">
        <v>796</v>
      </c>
      <c r="B5" s="43" t="s">
        <v>756</v>
      </c>
      <c r="C5" s="19" t="s">
        <v>757</v>
      </c>
      <c r="D5" s="19" t="s">
        <v>771</v>
      </c>
      <c r="E5" s="43"/>
      <c r="F5" s="62"/>
      <c r="G5" s="19" t="s">
        <v>790</v>
      </c>
      <c r="H5" s="25"/>
      <c r="I5" s="17" t="s">
        <v>791</v>
      </c>
      <c r="J5" s="20" t="s">
        <v>797</v>
      </c>
    </row>
    <row r="6" customFormat="false" ht="23.25" hidden="false" customHeight="true" outlineLevel="0" collapsed="false">
      <c r="A6" s="17" t="s">
        <v>798</v>
      </c>
      <c r="B6" s="43" t="s">
        <v>760</v>
      </c>
      <c r="C6" s="19" t="s">
        <v>799</v>
      </c>
      <c r="D6" s="19" t="s">
        <v>800</v>
      </c>
      <c r="E6" s="43"/>
      <c r="F6" s="62"/>
      <c r="G6" s="19" t="s">
        <v>790</v>
      </c>
      <c r="H6" s="25"/>
      <c r="I6" s="17" t="s">
        <v>791</v>
      </c>
      <c r="J6" s="20" t="s">
        <v>801</v>
      </c>
    </row>
    <row r="7" customFormat="false" ht="15" hidden="false" customHeight="true" outlineLevel="0" collapsed="false">
      <c r="A7" s="17" t="s">
        <v>802</v>
      </c>
      <c r="B7" s="43" t="s">
        <v>778</v>
      </c>
      <c r="C7" s="19" t="s">
        <v>779</v>
      </c>
      <c r="D7" s="19" t="s">
        <v>776</v>
      </c>
      <c r="E7" s="43"/>
      <c r="F7" s="62"/>
      <c r="G7" s="19" t="s">
        <v>790</v>
      </c>
      <c r="H7" s="25"/>
      <c r="I7" s="17" t="s">
        <v>791</v>
      </c>
      <c r="J7" s="20" t="s">
        <v>803</v>
      </c>
    </row>
    <row r="8" customFormat="false" ht="15" hidden="false" customHeight="true" outlineLevel="0" collapsed="false">
      <c r="A8" s="17" t="s">
        <v>804</v>
      </c>
      <c r="B8" s="43" t="s">
        <v>805</v>
      </c>
      <c r="C8" s="19" t="s">
        <v>806</v>
      </c>
      <c r="D8" s="19" t="s">
        <v>776</v>
      </c>
      <c r="E8" s="43"/>
      <c r="F8" s="62"/>
      <c r="G8" s="19" t="s">
        <v>790</v>
      </c>
      <c r="H8" s="25"/>
      <c r="I8" s="17" t="s">
        <v>791</v>
      </c>
      <c r="J8" s="20" t="s">
        <v>807</v>
      </c>
    </row>
    <row r="9" customFormat="false" ht="15" hidden="false" customHeight="true" outlineLevel="0" collapsed="false">
      <c r="A9" s="35"/>
      <c r="B9" s="39"/>
      <c r="C9" s="35"/>
      <c r="D9" s="35"/>
      <c r="E9" s="39"/>
      <c r="F9" s="63"/>
      <c r="G9" s="35"/>
      <c r="H9" s="40"/>
      <c r="I9" s="35"/>
      <c r="J9" s="35"/>
    </row>
    <row r="10" customFormat="false" ht="15" hidden="false" customHeight="true" outlineLevel="0" collapsed="false">
      <c r="A10" s="35"/>
      <c r="B10" s="39"/>
      <c r="C10" s="35"/>
      <c r="D10" s="35"/>
      <c r="E10" s="39"/>
      <c r="F10" s="63"/>
      <c r="G10" s="35"/>
      <c r="H10" s="40"/>
      <c r="I10" s="35"/>
      <c r="J10" s="35"/>
    </row>
    <row r="11" customFormat="false" ht="15" hidden="false" customHeight="true" outlineLevel="0" collapsed="false">
      <c r="A11" s="35"/>
      <c r="B11" s="39"/>
      <c r="C11" s="35"/>
      <c r="D11" s="35"/>
      <c r="E11" s="39"/>
      <c r="F11" s="63"/>
      <c r="G11" s="35"/>
      <c r="H11" s="40"/>
      <c r="I11" s="35"/>
      <c r="J11" s="35"/>
    </row>
    <row r="12" customFormat="false" ht="15" hidden="false" customHeight="true" outlineLevel="0" collapsed="false">
      <c r="A12" s="35"/>
      <c r="B12" s="39"/>
      <c r="C12" s="35"/>
      <c r="D12" s="35"/>
      <c r="E12" s="39"/>
      <c r="F12" s="63"/>
      <c r="G12" s="35"/>
      <c r="H12" s="40"/>
      <c r="I12" s="35"/>
      <c r="J12" s="35"/>
    </row>
    <row r="13" customFormat="false" ht="15" hidden="false" customHeight="true" outlineLevel="0" collapsed="false">
      <c r="A13" s="35"/>
      <c r="B13" s="39"/>
      <c r="C13" s="35"/>
      <c r="D13" s="35"/>
      <c r="E13" s="39"/>
      <c r="F13" s="63"/>
      <c r="G13" s="35"/>
      <c r="H13" s="40"/>
      <c r="I13" s="35"/>
      <c r="J13" s="35"/>
    </row>
    <row r="14" customFormat="false" ht="15" hidden="false" customHeight="true" outlineLevel="0" collapsed="false">
      <c r="A14" s="35"/>
      <c r="B14" s="39"/>
      <c r="C14" s="35"/>
      <c r="D14" s="35"/>
      <c r="E14" s="39"/>
      <c r="F14" s="63"/>
      <c r="G14" s="35"/>
      <c r="H14" s="40"/>
      <c r="I14" s="35"/>
      <c r="J14" s="35"/>
    </row>
    <row r="15" customFormat="false" ht="15" hidden="false" customHeight="true" outlineLevel="0" collapsed="false">
      <c r="A15" s="35"/>
      <c r="B15" s="39"/>
      <c r="C15" s="35"/>
      <c r="D15" s="35"/>
      <c r="E15" s="39"/>
      <c r="F15" s="63"/>
      <c r="G15" s="35"/>
      <c r="H15" s="40"/>
      <c r="I15" s="35"/>
      <c r="J15" s="35"/>
    </row>
    <row r="16" customFormat="false" ht="15" hidden="false" customHeight="true" outlineLevel="0" collapsed="false">
      <c r="A16" s="35"/>
      <c r="B16" s="39"/>
      <c r="C16" s="35"/>
      <c r="D16" s="35"/>
      <c r="E16" s="39"/>
      <c r="F16" s="63"/>
      <c r="G16" s="35"/>
      <c r="H16" s="40"/>
      <c r="I16" s="35"/>
      <c r="J16" s="35"/>
    </row>
    <row r="17" customFormat="false" ht="15" hidden="false" customHeight="true" outlineLevel="0" collapsed="false">
      <c r="A17" s="35"/>
      <c r="B17" s="39"/>
      <c r="C17" s="35"/>
      <c r="D17" s="35"/>
      <c r="E17" s="39"/>
      <c r="F17" s="63"/>
      <c r="G17" s="35"/>
      <c r="H17" s="40"/>
      <c r="I17" s="35"/>
      <c r="J17" s="35"/>
    </row>
    <row r="18" customFormat="false" ht="15" hidden="false" customHeight="true" outlineLevel="0" collapsed="false">
      <c r="A18" s="35"/>
      <c r="B18" s="39"/>
      <c r="C18" s="35"/>
      <c r="D18" s="35"/>
      <c r="E18" s="39"/>
      <c r="F18" s="63"/>
      <c r="G18" s="35"/>
      <c r="H18" s="40"/>
      <c r="I18" s="35"/>
      <c r="J18" s="35"/>
    </row>
    <row r="19" customFormat="false" ht="15" hidden="false" customHeight="true" outlineLevel="0" collapsed="false">
      <c r="A19" s="35"/>
      <c r="B19" s="39"/>
      <c r="C19" s="35"/>
      <c r="D19" s="35"/>
      <c r="E19" s="39"/>
      <c r="F19" s="63"/>
      <c r="G19" s="35"/>
      <c r="H19" s="40"/>
      <c r="I19" s="35"/>
      <c r="J19" s="35"/>
    </row>
    <row r="20" customFormat="false" ht="15" hidden="false" customHeight="true" outlineLevel="0" collapsed="false">
      <c r="A20" s="35"/>
      <c r="B20" s="39"/>
      <c r="C20" s="35"/>
      <c r="D20" s="35"/>
      <c r="E20" s="39"/>
      <c r="F20" s="63"/>
      <c r="G20" s="35"/>
      <c r="H20" s="40"/>
      <c r="I20" s="35"/>
      <c r="J20" s="35"/>
    </row>
    <row r="21" customFormat="false" ht="15" hidden="false" customHeight="true" outlineLevel="0" collapsed="false">
      <c r="A21" s="35"/>
      <c r="B21" s="39"/>
      <c r="C21" s="35"/>
      <c r="D21" s="35"/>
      <c r="E21" s="39"/>
      <c r="F21" s="63"/>
      <c r="G21" s="35"/>
      <c r="H21" s="40"/>
      <c r="I21" s="35"/>
      <c r="J21" s="35"/>
    </row>
    <row r="22" customFormat="false" ht="15" hidden="false" customHeight="true" outlineLevel="0" collapsed="false">
      <c r="A22" s="35"/>
      <c r="B22" s="39"/>
      <c r="C22" s="35"/>
      <c r="D22" s="35"/>
      <c r="E22" s="39"/>
      <c r="F22" s="63"/>
      <c r="G22" s="35"/>
      <c r="H22" s="40"/>
      <c r="I22" s="35"/>
      <c r="J22" s="35"/>
    </row>
    <row r="23" customFormat="false" ht="15" hidden="false" customHeight="true" outlineLevel="0" collapsed="false">
      <c r="A23" s="35"/>
      <c r="B23" s="39"/>
      <c r="C23" s="35"/>
      <c r="D23" s="35"/>
      <c r="E23" s="39"/>
      <c r="F23" s="63"/>
      <c r="G23" s="35"/>
      <c r="H23" s="40"/>
      <c r="I23" s="35"/>
      <c r="J23" s="35"/>
    </row>
    <row r="24" customFormat="false" ht="15" hidden="false" customHeight="true" outlineLevel="0" collapsed="false">
      <c r="A24" s="35"/>
      <c r="B24" s="39"/>
      <c r="C24" s="35"/>
      <c r="D24" s="35"/>
      <c r="E24" s="39"/>
      <c r="F24" s="63"/>
      <c r="G24" s="35"/>
      <c r="H24" s="40"/>
      <c r="I24" s="35"/>
      <c r="J24" s="35"/>
    </row>
    <row r="25" customFormat="false" ht="15" hidden="false" customHeight="true" outlineLevel="0" collapsed="false">
      <c r="A25" s="35"/>
      <c r="B25" s="39"/>
      <c r="C25" s="35"/>
      <c r="D25" s="35"/>
      <c r="E25" s="39"/>
      <c r="F25" s="63"/>
      <c r="G25" s="35"/>
      <c r="H25" s="40"/>
      <c r="I25" s="35"/>
      <c r="J25" s="35"/>
    </row>
    <row r="26" customFormat="false" ht="15" hidden="false" customHeight="true" outlineLevel="0" collapsed="false">
      <c r="A26" s="35"/>
      <c r="B26" s="39"/>
      <c r="C26" s="35"/>
      <c r="D26" s="35"/>
      <c r="E26" s="39"/>
      <c r="F26" s="63"/>
      <c r="G26" s="35"/>
      <c r="H26" s="40"/>
      <c r="I26" s="35"/>
      <c r="J26" s="35"/>
    </row>
    <row r="27" customFormat="false" ht="15" hidden="false" customHeight="true" outlineLevel="0" collapsed="false">
      <c r="A27" s="35"/>
      <c r="B27" s="39"/>
      <c r="C27" s="35"/>
      <c r="D27" s="35"/>
      <c r="E27" s="39"/>
      <c r="F27" s="63"/>
      <c r="G27" s="35"/>
      <c r="H27" s="40"/>
      <c r="I27" s="35"/>
      <c r="J27" s="35"/>
    </row>
    <row r="28" customFormat="false" ht="15" hidden="false" customHeight="true" outlineLevel="0" collapsed="false">
      <c r="A28" s="35"/>
      <c r="B28" s="39"/>
      <c r="C28" s="35"/>
      <c r="D28" s="35"/>
      <c r="E28" s="39"/>
      <c r="F28" s="63"/>
      <c r="G28" s="35"/>
      <c r="H28" s="40"/>
      <c r="I28" s="35"/>
      <c r="J28" s="35"/>
    </row>
    <row r="29" customFormat="false" ht="15" hidden="false" customHeight="true" outlineLevel="0" collapsed="false">
      <c r="A29" s="35"/>
      <c r="B29" s="39"/>
      <c r="C29" s="35"/>
      <c r="D29" s="35"/>
      <c r="E29" s="39"/>
      <c r="F29" s="63"/>
      <c r="G29" s="35"/>
      <c r="H29" s="40"/>
      <c r="I29" s="35"/>
      <c r="J29" s="35"/>
    </row>
    <row r="30" customFormat="false" ht="15" hidden="false" customHeight="true" outlineLevel="0" collapsed="false">
      <c r="A30" s="35"/>
      <c r="B30" s="39"/>
      <c r="C30" s="35"/>
      <c r="D30" s="35"/>
      <c r="E30" s="39"/>
      <c r="F30" s="63"/>
      <c r="G30" s="35"/>
      <c r="H30" s="40"/>
      <c r="I30" s="35"/>
      <c r="J30" s="35"/>
    </row>
    <row r="31" customFormat="false" ht="15" hidden="false" customHeight="true" outlineLevel="0" collapsed="false">
      <c r="A31" s="35"/>
      <c r="B31" s="39"/>
      <c r="C31" s="35"/>
      <c r="D31" s="35"/>
      <c r="E31" s="39"/>
      <c r="F31" s="63"/>
      <c r="G31" s="35"/>
      <c r="H31" s="40"/>
      <c r="I31" s="35"/>
      <c r="J31" s="35"/>
    </row>
    <row r="32" customFormat="false" ht="15" hidden="false" customHeight="true" outlineLevel="0" collapsed="false">
      <c r="A32" s="35"/>
      <c r="B32" s="39"/>
      <c r="C32" s="35"/>
      <c r="D32" s="35"/>
      <c r="E32" s="39"/>
      <c r="F32" s="63"/>
      <c r="G32" s="35"/>
      <c r="H32" s="40"/>
      <c r="I32" s="35"/>
      <c r="J32" s="35"/>
    </row>
    <row r="33" customFormat="false" ht="15" hidden="false" customHeight="true" outlineLevel="0" collapsed="false">
      <c r="A33" s="35"/>
      <c r="B33" s="39"/>
      <c r="C33" s="35"/>
      <c r="D33" s="35"/>
      <c r="E33" s="39"/>
      <c r="F33" s="63"/>
      <c r="G33" s="35"/>
      <c r="H33" s="40"/>
      <c r="I33" s="35"/>
      <c r="J33" s="35"/>
    </row>
    <row r="34" customFormat="false" ht="15" hidden="false" customHeight="true" outlineLevel="0" collapsed="false">
      <c r="A34" s="35"/>
      <c r="B34" s="39"/>
      <c r="C34" s="35"/>
      <c r="D34" s="35"/>
      <c r="E34" s="39"/>
      <c r="F34" s="63"/>
      <c r="G34" s="35"/>
      <c r="H34" s="40"/>
      <c r="I34" s="35"/>
      <c r="J34" s="35"/>
    </row>
    <row r="35" customFormat="false" ht="15" hidden="false" customHeight="true" outlineLevel="0" collapsed="false">
      <c r="A35" s="35"/>
      <c r="B35" s="39"/>
      <c r="C35" s="35"/>
      <c r="D35" s="35"/>
      <c r="E35" s="39"/>
      <c r="F35" s="63"/>
      <c r="G35" s="35"/>
      <c r="H35" s="40"/>
      <c r="I35" s="35"/>
      <c r="J35" s="35"/>
    </row>
    <row r="36" customFormat="false" ht="15" hidden="false" customHeight="true" outlineLevel="0" collapsed="false">
      <c r="A36" s="35"/>
      <c r="B36" s="39"/>
      <c r="C36" s="35"/>
      <c r="D36" s="35"/>
      <c r="E36" s="39"/>
      <c r="F36" s="63"/>
      <c r="G36" s="35"/>
      <c r="H36" s="40"/>
      <c r="I36" s="35"/>
      <c r="J36" s="35"/>
    </row>
    <row r="37" customFormat="false" ht="15" hidden="false" customHeight="true" outlineLevel="0" collapsed="false">
      <c r="A37" s="35"/>
      <c r="B37" s="39"/>
      <c r="C37" s="35"/>
      <c r="D37" s="35"/>
      <c r="E37" s="39"/>
      <c r="F37" s="63"/>
      <c r="G37" s="35"/>
      <c r="H37" s="40"/>
      <c r="I37" s="35"/>
      <c r="J37" s="35"/>
    </row>
    <row r="38" customFormat="false" ht="15" hidden="false" customHeight="true" outlineLevel="0" collapsed="false">
      <c r="A38" s="35"/>
      <c r="B38" s="39"/>
      <c r="C38" s="35"/>
      <c r="D38" s="35"/>
      <c r="E38" s="39"/>
      <c r="F38" s="63"/>
      <c r="G38" s="35"/>
      <c r="H38" s="40"/>
      <c r="I38" s="35"/>
      <c r="J38" s="35"/>
    </row>
    <row r="39" customFormat="false" ht="15" hidden="false" customHeight="true" outlineLevel="0" collapsed="false">
      <c r="A39" s="35"/>
      <c r="B39" s="39"/>
      <c r="C39" s="35"/>
      <c r="D39" s="35"/>
      <c r="E39" s="39"/>
      <c r="F39" s="63"/>
      <c r="G39" s="35"/>
      <c r="H39" s="40"/>
      <c r="I39" s="35"/>
      <c r="J39" s="35"/>
    </row>
    <row r="40" customFormat="false" ht="15" hidden="false" customHeight="true" outlineLevel="0" collapsed="false">
      <c r="A40" s="35"/>
      <c r="B40" s="39"/>
      <c r="C40" s="35"/>
      <c r="D40" s="35"/>
      <c r="E40" s="39"/>
      <c r="F40" s="63"/>
      <c r="G40" s="35"/>
      <c r="H40" s="40"/>
      <c r="I40" s="35"/>
      <c r="J40" s="35"/>
    </row>
  </sheetData>
  <autoFilter ref="A2:J40"/>
  <mergeCells count="1">
    <mergeCell ref="A1:J1"/>
  </mergeCells>
  <conditionalFormatting sqref="I3:I40">
    <cfRule type="expression" priority="2" aboveAverage="0" equalAverage="0" bottom="0" percent="0" rank="0" text="" dxfId="10">
      <formula>$I3="Active"</formula>
    </cfRule>
    <cfRule type="expression" priority="3" aboveAverage="0" equalAverage="0" bottom="0" percent="0" rank="0" text="" dxfId="13">
      <formula>$I3="Inactive"</formula>
    </cfRule>
  </conditionalFormatting>
  <dataValidations count="3">
    <dataValidation allowBlank="true" errorStyle="stop" operator="between" showDropDown="false" showErrorMessage="false" showInputMessage="false" sqref="D3:D40" type="list">
      <formula1>"Factory,Outside / Site,Both"</formula1>
      <formula2>0</formula2>
    </dataValidation>
    <dataValidation allowBlank="true" errorStyle="stop" operator="between" showDropDown="false" showErrorMessage="false" showInputMessage="false" sqref="G3:G40" type="list">
      <formula1>"Hourly,Daily"</formula1>
      <formula2>0</formula2>
    </dataValidation>
    <dataValidation allowBlank="true" errorStyle="stop" operator="between" showDropDown="false" showErrorMessage="false" showInputMessage="false" sqref="I3:I40" type="list">
      <formula1>"Active,Inactive"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D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6"/>
    <col collapsed="false" customWidth="true" hidden="false" outlineLevel="0" max="3" min="3" style="1" width="74"/>
    <col collapsed="false" customWidth="true" hidden="false" outlineLevel="0" max="4" min="4" style="1" width="2"/>
  </cols>
  <sheetData>
    <row r="1" customFormat="false" ht="30" hidden="false" customHeight="true" outlineLevel="0" collapsed="false">
      <c r="A1" s="2" t="s">
        <v>808</v>
      </c>
      <c r="B1" s="2"/>
      <c r="C1" s="2"/>
      <c r="D1" s="2"/>
    </row>
    <row r="4" customFormat="false" ht="18" hidden="false" customHeight="true" outlineLevel="0" collapsed="false">
      <c r="B4" s="64" t="s">
        <v>809</v>
      </c>
      <c r="C4" s="64" t="s">
        <v>810</v>
      </c>
    </row>
    <row r="5" customFormat="false" ht="30" hidden="false" customHeight="true" outlineLevel="0" collapsed="false">
      <c r="B5" s="65" t="s">
        <v>811</v>
      </c>
      <c r="C5" s="66" t="s">
        <v>812</v>
      </c>
    </row>
    <row r="6" customFormat="false" ht="30" hidden="false" customHeight="true" outlineLevel="0" collapsed="false">
      <c r="B6" s="65" t="s">
        <v>813</v>
      </c>
      <c r="C6" s="66" t="s">
        <v>814</v>
      </c>
    </row>
    <row r="7" customFormat="false" ht="30" hidden="false" customHeight="true" outlineLevel="0" collapsed="false">
      <c r="B7" s="65" t="s">
        <v>815</v>
      </c>
      <c r="C7" s="66" t="s">
        <v>816</v>
      </c>
    </row>
    <row r="8" customFormat="false" ht="30" hidden="false" customHeight="true" outlineLevel="0" collapsed="false">
      <c r="B8" s="65" t="s">
        <v>817</v>
      </c>
      <c r="C8" s="66" t="s">
        <v>818</v>
      </c>
    </row>
    <row r="9" customFormat="false" ht="30" hidden="false" customHeight="true" outlineLevel="0" collapsed="false">
      <c r="B9" s="65" t="s">
        <v>819</v>
      </c>
      <c r="C9" s="66" t="s">
        <v>820</v>
      </c>
    </row>
    <row r="10" customFormat="false" ht="30" hidden="false" customHeight="true" outlineLevel="0" collapsed="false">
      <c r="B10" s="65" t="s">
        <v>821</v>
      </c>
      <c r="C10" s="66" t="s">
        <v>822</v>
      </c>
    </row>
    <row r="11" customFormat="false" ht="30" hidden="false" customHeight="true" outlineLevel="0" collapsed="false">
      <c r="B11" s="65" t="s">
        <v>823</v>
      </c>
      <c r="C11" s="66" t="s">
        <v>824</v>
      </c>
    </row>
    <row r="12" customFormat="false" ht="18" hidden="false" customHeight="true" outlineLevel="0" collapsed="false">
      <c r="B12" s="65" t="s">
        <v>825</v>
      </c>
      <c r="C12" s="66" t="s">
        <v>826</v>
      </c>
    </row>
    <row r="13" customFormat="false" ht="18" hidden="false" customHeight="true" outlineLevel="0" collapsed="false"/>
    <row r="14" customFormat="false" ht="18" hidden="false" customHeight="true" outlineLevel="0" collapsed="false">
      <c r="B14" s="64" t="s">
        <v>827</v>
      </c>
      <c r="C14" s="64" t="s">
        <v>828</v>
      </c>
    </row>
    <row r="15" customFormat="false" ht="18" hidden="false" customHeight="true" outlineLevel="0" collapsed="false">
      <c r="B15" s="67" t="s">
        <v>829</v>
      </c>
      <c r="C15" s="66" t="s">
        <v>830</v>
      </c>
    </row>
    <row r="16" customFormat="false" ht="18" hidden="false" customHeight="true" outlineLevel="0" collapsed="false">
      <c r="B16" s="68" t="s">
        <v>831</v>
      </c>
      <c r="C16" s="66" t="s">
        <v>832</v>
      </c>
    </row>
    <row r="17" customFormat="false" ht="18" hidden="false" customHeight="true" outlineLevel="0" collapsed="false">
      <c r="B17" s="69" t="s">
        <v>833</v>
      </c>
      <c r="C17" s="66" t="s">
        <v>834</v>
      </c>
    </row>
    <row r="18" customFormat="false" ht="18" hidden="false" customHeight="true" outlineLevel="0" collapsed="false">
      <c r="B18" s="70" t="s">
        <v>835</v>
      </c>
      <c r="C18" s="66" t="s">
        <v>836</v>
      </c>
    </row>
    <row r="19" customFormat="false" ht="18" hidden="false" customHeight="true" outlineLevel="0" collapsed="false">
      <c r="B19" s="71" t="s">
        <v>837</v>
      </c>
      <c r="C19" s="66" t="s">
        <v>838</v>
      </c>
    </row>
    <row r="20" customFormat="false" ht="18" hidden="false" customHeight="true" outlineLevel="0" collapsed="false"/>
    <row r="21" customFormat="false" ht="18" hidden="false" customHeight="true" outlineLevel="0" collapsed="false">
      <c r="B21" s="64" t="s">
        <v>839</v>
      </c>
      <c r="C21" s="64" t="s">
        <v>840</v>
      </c>
    </row>
    <row r="22" customFormat="false" ht="18" hidden="false" customHeight="true" outlineLevel="0" collapsed="false">
      <c r="B22" s="65" t="s">
        <v>841</v>
      </c>
      <c r="C22" s="66" t="s">
        <v>842</v>
      </c>
    </row>
    <row r="23" customFormat="false" ht="30" hidden="false" customHeight="true" outlineLevel="0" collapsed="false">
      <c r="B23" s="65" t="s">
        <v>843</v>
      </c>
      <c r="C23" s="66" t="s">
        <v>844</v>
      </c>
    </row>
    <row r="24" customFormat="false" ht="30" hidden="false" customHeight="true" outlineLevel="0" collapsed="false">
      <c r="B24" s="65" t="s">
        <v>845</v>
      </c>
      <c r="C24" s="66" t="s">
        <v>846</v>
      </c>
    </row>
    <row r="25" customFormat="false" ht="30" hidden="false" customHeight="true" outlineLevel="0" collapsed="false">
      <c r="B25" s="65" t="s">
        <v>847</v>
      </c>
      <c r="C25" s="66" t="s">
        <v>848</v>
      </c>
    </row>
    <row r="26" customFormat="false" ht="30" hidden="false" customHeight="true" outlineLevel="0" collapsed="false">
      <c r="B26" s="65" t="s">
        <v>849</v>
      </c>
      <c r="C26" s="66" t="s">
        <v>850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>
  <sheetPr>
    <tabColor rgb="FFFF8C00"/>
  </sheetPr>
  <sheetViews>
    <sheetView workbookViewId="0"/>
  </sheetViews>
  <sheetFormatPr defaultRowHeight="15"/>
  <cols>
    <col min="1" max="1" width="25" bestFit="true" customWidth="true"/>
    <col min="2" max="2" width="15" customWidth="true"/>
    <col min="3" max="3" width="12" customWidth="true"/>
    <col min="4" max="4" width="20" customWidth="true"/>
    <col min="5" max="5" width="30" customWidth="true"/>
    <col min="6" max="6" width="8" customWidth="true"/>
    <col min="7" max="7" width="10" customWidth="true"/>
    <col min="8" max="8" width="14" customWidth="true"/>
    <col min="9" max="9" width="14" customWidth="true"/>
    <col min="10" max="10" width="15" customWidth="true"/>
    <col min="11" max="11" width="30" customWidth="true"/>
  </cols>
  <sheetData>
    <row r="1" ht="20" customHeight="true">
      <c r="A1" s="72" t="s">
        <v>953</v>
      </c>
      <c r="B1" s="72"/>
      <c r="C1" s="72"/>
      <c r="D1" s="72"/>
      <c r="E1" s="72"/>
      <c r="F1" s="72"/>
      <c r="G1" s="72"/>
      <c r="H1" s="72"/>
      <c r="I1" s="72"/>
      <c r="J1" s="72"/>
      <c r="K1" s="72"/>
    </row>
    <row r="2" ht="18" customHeight="true">
      <c r="A2" s="73" t="s">
        <v>25</v>
      </c>
      <c r="B2" s="73" t="s">
        <v>954</v>
      </c>
      <c r="C2" s="73" t="s">
        <v>24</v>
      </c>
      <c r="D2" s="73" t="s">
        <v>955</v>
      </c>
      <c r="E2" s="73" t="s">
        <v>956</v>
      </c>
      <c r="F2" s="73" t="s">
        <v>957</v>
      </c>
      <c r="G2" s="73" t="s">
        <v>958</v>
      </c>
      <c r="H2" s="73" t="s">
        <v>959</v>
      </c>
      <c r="I2" s="73" t="s">
        <v>960</v>
      </c>
      <c r="J2" s="73" t="s">
        <v>32</v>
      </c>
      <c r="K2" s="73" t="s">
        <v>43</v>
      </c>
    </row>
    <row r="3" ht="15" customHeight="true">
      <c r="A3" s="77" t="s">
        <v>925</v>
      </c>
      <c r="B3" s="77" t="s">
        <v>926</v>
      </c>
      <c r="C3" s="77"/>
      <c r="D3" s="77"/>
      <c r="E3" s="77"/>
      <c r="F3" s="77"/>
      <c r="G3" s="77"/>
      <c r="H3" s="77"/>
      <c r="I3" s="77"/>
      <c r="J3" s="77"/>
      <c r="K3" s="77"/>
    </row>
    <row r="4" ht="15" customHeight="true">
      <c r="A4" s="74" t="s">
        <v>925</v>
      </c>
      <c r="B4" s="74" t="s">
        <v>963</v>
      </c>
      <c r="C4" s="75">
        <v>46079</v>
      </c>
      <c r="D4" s="74" t="s">
        <v>926</v>
      </c>
      <c r="E4" s="74" t="s">
        <v>977</v>
      </c>
      <c r="F4" s="74" t="s">
        <v>1001</v>
      </c>
      <c r="G4" s="78">
        <v>1.0</v>
      </c>
      <c r="H4" s="76">
        <v>1520.0</v>
      </c>
      <c r="I4" s="76">
        <v>1520.0</v>
      </c>
      <c r="J4" s="74" t="s">
        <v>17</v>
      </c>
      <c r="K4" s="74"/>
    </row>
    <row r="5" ht="15" customHeight="true">
      <c r="A5" s="74" t="s">
        <v>925</v>
      </c>
      <c r="B5" s="74" t="s">
        <v>963</v>
      </c>
      <c r="C5" s="75">
        <v>46079</v>
      </c>
      <c r="D5" s="74" t="s">
        <v>926</v>
      </c>
      <c r="E5" s="74" t="s">
        <v>228</v>
      </c>
      <c r="F5" s="74" t="s">
        <v>1001</v>
      </c>
      <c r="G5" s="78">
        <v>1.0</v>
      </c>
      <c r="H5" s="76">
        <v>1680.0</v>
      </c>
      <c r="I5" s="76">
        <v>1680.0</v>
      </c>
      <c r="J5" s="74" t="s">
        <v>17</v>
      </c>
      <c r="K5" s="74"/>
    </row>
    <row r="6" ht="15" customHeight="true">
      <c r="A6" s="74" t="s">
        <v>925</v>
      </c>
      <c r="B6" s="74" t="s">
        <v>963</v>
      </c>
      <c r="C6" s="75">
        <v>46079</v>
      </c>
      <c r="D6" s="74" t="s">
        <v>926</v>
      </c>
      <c r="E6" s="74" t="s">
        <v>978</v>
      </c>
      <c r="F6" s="74" t="s">
        <v>1001</v>
      </c>
      <c r="G6" s="78">
        <v>1.0</v>
      </c>
      <c r="H6" s="76">
        <v>1100.0</v>
      </c>
      <c r="I6" s="76">
        <v>1100.0</v>
      </c>
      <c r="J6" s="74" t="s">
        <v>978</v>
      </c>
      <c r="K6" s="74"/>
    </row>
    <row r="7" ht="15" customHeight="true">
      <c r="A7" s="74" t="s">
        <v>925</v>
      </c>
      <c r="B7" s="74" t="s">
        <v>964</v>
      </c>
      <c r="C7" s="75">
        <v>46079</v>
      </c>
      <c r="D7" s="74" t="s">
        <v>926</v>
      </c>
      <c r="E7" s="74" t="s">
        <v>203</v>
      </c>
      <c r="F7" s="74" t="s">
        <v>1001</v>
      </c>
      <c r="G7" s="78">
        <v>1.0</v>
      </c>
      <c r="H7" s="76">
        <v>960.0</v>
      </c>
      <c r="I7" s="76">
        <v>960.0</v>
      </c>
      <c r="J7" s="74" t="s">
        <v>17</v>
      </c>
      <c r="K7" s="74"/>
    </row>
    <row r="8" ht="15" customHeight="true">
      <c r="A8" s="74" t="s">
        <v>925</v>
      </c>
      <c r="B8" s="74" t="s">
        <v>964</v>
      </c>
      <c r="C8" s="75">
        <v>46079</v>
      </c>
      <c r="D8" s="74" t="s">
        <v>926</v>
      </c>
      <c r="E8" s="74" t="s">
        <v>1007</v>
      </c>
      <c r="F8" s="74" t="s">
        <v>1001</v>
      </c>
      <c r="G8" s="78">
        <v>1.0</v>
      </c>
      <c r="H8" s="76">
        <v>4440.0</v>
      </c>
      <c r="I8" s="76">
        <v>4440.0</v>
      </c>
      <c r="J8" s="74" t="s">
        <v>17</v>
      </c>
      <c r="K8" s="74"/>
    </row>
    <row r="9" ht="15" customHeight="true">
      <c r="A9" s="74" t="s">
        <v>925</v>
      </c>
      <c r="B9" s="74" t="s">
        <v>964</v>
      </c>
      <c r="C9" s="75">
        <v>46079</v>
      </c>
      <c r="D9" s="74" t="s">
        <v>926</v>
      </c>
      <c r="E9" s="74" t="s">
        <v>1000</v>
      </c>
      <c r="F9" s="74" t="s">
        <v>1001</v>
      </c>
      <c r="G9" s="78">
        <v>1.0</v>
      </c>
      <c r="H9" s="76">
        <v>1280.0</v>
      </c>
      <c r="I9" s="76">
        <v>1280.0</v>
      </c>
      <c r="J9" s="74" t="s">
        <v>978</v>
      </c>
      <c r="K9" s="74" t="s">
        <v>1004</v>
      </c>
    </row>
    <row r="10" ht="15" customHeight="true">
      <c r="A10" s="77" t="s">
        <v>897</v>
      </c>
      <c r="B10" s="77" t="s">
        <v>898</v>
      </c>
      <c r="C10" s="77"/>
      <c r="D10" s="77"/>
      <c r="E10" s="77"/>
      <c r="F10" s="77"/>
      <c r="G10" s="77"/>
      <c r="H10" s="77"/>
      <c r="I10" s="77"/>
      <c r="J10" s="77"/>
      <c r="K10" s="77"/>
    </row>
    <row r="11" ht="15" customHeight="true">
      <c r="A11" s="74" t="s">
        <v>897</v>
      </c>
      <c r="B11" s="74" t="s">
        <v>965</v>
      </c>
      <c r="C11" s="75">
        <v>46074</v>
      </c>
      <c r="D11" s="74" t="s">
        <v>898</v>
      </c>
      <c r="E11" s="74" t="s">
        <v>979</v>
      </c>
      <c r="F11" s="74" t="s">
        <v>1001</v>
      </c>
      <c r="G11" s="78">
        <v>1.0</v>
      </c>
      <c r="H11" s="76">
        <v>427.5</v>
      </c>
      <c r="I11" s="76">
        <v>427.5</v>
      </c>
      <c r="J11" s="74" t="s">
        <v>15</v>
      </c>
      <c r="K11" s="74"/>
    </row>
    <row r="12" ht="15" customHeight="true">
      <c r="A12" s="74" t="s">
        <v>897</v>
      </c>
      <c r="B12" s="74" t="s">
        <v>965</v>
      </c>
      <c r="C12" s="75">
        <v>46074</v>
      </c>
      <c r="D12" s="74" t="s">
        <v>898</v>
      </c>
      <c r="E12" s="74" t="s">
        <v>762</v>
      </c>
      <c r="F12" s="74" t="s">
        <v>1001</v>
      </c>
      <c r="G12" s="78">
        <v>1.0</v>
      </c>
      <c r="H12" s="76">
        <v>40.0</v>
      </c>
      <c r="I12" s="76">
        <v>40.0</v>
      </c>
      <c r="J12" s="74" t="s">
        <v>762</v>
      </c>
      <c r="K12" s="74"/>
    </row>
    <row r="13" ht="15" customHeight="true">
      <c r="A13" s="77" t="s">
        <v>876</v>
      </c>
      <c r="B13" s="77" t="s">
        <v>69</v>
      </c>
      <c r="C13" s="77"/>
      <c r="D13" s="77"/>
      <c r="E13" s="77"/>
      <c r="F13" s="77"/>
      <c r="G13" s="77"/>
      <c r="H13" s="77"/>
      <c r="I13" s="77"/>
      <c r="J13" s="77"/>
      <c r="K13" s="77"/>
    </row>
    <row r="14" ht="15" customHeight="true">
      <c r="A14" s="74" t="s">
        <v>876</v>
      </c>
      <c r="B14" s="74" t="s">
        <v>966</v>
      </c>
      <c r="C14" s="75">
        <v>46070</v>
      </c>
      <c r="D14" s="74" t="s">
        <v>69</v>
      </c>
      <c r="E14" s="74" t="s">
        <v>879</v>
      </c>
      <c r="F14" s="74" t="s">
        <v>1001</v>
      </c>
      <c r="G14" s="78">
        <v>1.0</v>
      </c>
      <c r="H14" s="76">
        <v>90.0</v>
      </c>
      <c r="I14" s="76">
        <v>90.0</v>
      </c>
      <c r="J14" s="74" t="s">
        <v>15</v>
      </c>
      <c r="K14" s="74"/>
    </row>
    <row r="15" ht="15" customHeight="true">
      <c r="A15" s="77" t="s">
        <v>922</v>
      </c>
      <c r="B15" s="77" t="s">
        <v>163</v>
      </c>
      <c r="C15" s="77"/>
      <c r="D15" s="77"/>
      <c r="E15" s="77"/>
      <c r="F15" s="77"/>
      <c r="G15" s="77"/>
      <c r="H15" s="77"/>
      <c r="I15" s="77"/>
      <c r="J15" s="77"/>
      <c r="K15" s="77"/>
    </row>
    <row r="16" ht="15" customHeight="true">
      <c r="A16" s="74" t="s">
        <v>922</v>
      </c>
      <c r="B16" s="74" t="s">
        <v>967</v>
      </c>
      <c r="C16" s="75">
        <v>46076</v>
      </c>
      <c r="D16" s="74" t="s">
        <v>163</v>
      </c>
      <c r="E16" s="74" t="s">
        <v>980</v>
      </c>
      <c r="F16" s="74" t="s">
        <v>1002</v>
      </c>
      <c r="G16" s="78">
        <v>35.0</v>
      </c>
      <c r="H16" s="76">
        <v>89.0</v>
      </c>
      <c r="I16" s="76">
        <v>3115.0</v>
      </c>
      <c r="J16" s="74" t="s">
        <v>15</v>
      </c>
      <c r="K16" s="74"/>
    </row>
    <row r="17" ht="15" customHeight="true">
      <c r="A17" s="74" t="s">
        <v>922</v>
      </c>
      <c r="B17" s="74" t="s">
        <v>967</v>
      </c>
      <c r="C17" s="75">
        <v>46076</v>
      </c>
      <c r="D17" s="74" t="s">
        <v>163</v>
      </c>
      <c r="E17" s="74" t="s">
        <v>981</v>
      </c>
      <c r="F17" s="74" t="s">
        <v>1002</v>
      </c>
      <c r="G17" s="78">
        <v>165.0</v>
      </c>
      <c r="H17" s="76">
        <v>89.0</v>
      </c>
      <c r="I17" s="76">
        <v>14685.0</v>
      </c>
      <c r="J17" s="74" t="s">
        <v>15</v>
      </c>
      <c r="K17" s="74"/>
    </row>
    <row r="18" ht="15" customHeight="true">
      <c r="A18" s="74" t="s">
        <v>922</v>
      </c>
      <c r="B18" s="74" t="s">
        <v>967</v>
      </c>
      <c r="C18" s="75">
        <v>46076</v>
      </c>
      <c r="D18" s="74" t="s">
        <v>163</v>
      </c>
      <c r="E18" s="74" t="s">
        <v>982</v>
      </c>
      <c r="F18" s="74" t="s">
        <v>1002</v>
      </c>
      <c r="G18" s="78">
        <v>35.8</v>
      </c>
      <c r="H18" s="76">
        <v>89.0</v>
      </c>
      <c r="I18" s="76">
        <v>3186.2</v>
      </c>
      <c r="J18" s="74" t="s">
        <v>15</v>
      </c>
      <c r="K18" s="74"/>
    </row>
    <row r="19" ht="15" customHeight="true">
      <c r="A19" s="77" t="s">
        <v>865</v>
      </c>
      <c r="B19" s="77" t="s">
        <v>866</v>
      </c>
      <c r="C19" s="77"/>
      <c r="D19" s="77"/>
      <c r="E19" s="77"/>
      <c r="F19" s="77"/>
      <c r="G19" s="77"/>
      <c r="H19" s="77"/>
      <c r="I19" s="77"/>
      <c r="J19" s="77"/>
      <c r="K19" s="77"/>
    </row>
    <row r="20" ht="15" customHeight="true">
      <c r="A20" s="74" t="s">
        <v>865</v>
      </c>
      <c r="B20" s="74" t="s">
        <v>968</v>
      </c>
      <c r="C20" s="75">
        <v>46067</v>
      </c>
      <c r="D20" s="74" t="s">
        <v>866</v>
      </c>
      <c r="E20" s="74" t="s">
        <v>983</v>
      </c>
      <c r="F20" s="74" t="s">
        <v>1002</v>
      </c>
      <c r="G20" s="78">
        <v>77.8</v>
      </c>
      <c r="H20" s="76">
        <v>70.0</v>
      </c>
      <c r="I20" s="76">
        <v>5446.0</v>
      </c>
      <c r="J20" s="74" t="s">
        <v>17</v>
      </c>
      <c r="K20" s="74"/>
    </row>
    <row r="21" ht="15" customHeight="true">
      <c r="A21" s="74" t="s">
        <v>865</v>
      </c>
      <c r="B21" s="74" t="s">
        <v>968</v>
      </c>
      <c r="C21" s="75">
        <v>46067</v>
      </c>
      <c r="D21" s="74" t="s">
        <v>866</v>
      </c>
      <c r="E21" s="74" t="s">
        <v>984</v>
      </c>
      <c r="F21" s="74" t="s">
        <v>1001</v>
      </c>
      <c r="G21" s="78">
        <v>1.0</v>
      </c>
      <c r="H21" s="76">
        <v>3890.0</v>
      </c>
      <c r="I21" s="76">
        <v>3890.0</v>
      </c>
      <c r="J21" s="74" t="s">
        <v>978</v>
      </c>
      <c r="K21" s="74"/>
    </row>
    <row r="22" ht="15" customHeight="true">
      <c r="A22" s="77" t="s">
        <v>961</v>
      </c>
      <c r="B22" s="77" t="s">
        <v>424</v>
      </c>
      <c r="C22" s="77"/>
      <c r="D22" s="77"/>
      <c r="E22" s="77"/>
      <c r="F22" s="77"/>
      <c r="G22" s="77"/>
      <c r="H22" s="77"/>
      <c r="I22" s="77"/>
      <c r="J22" s="77"/>
      <c r="K22" s="77"/>
    </row>
    <row r="23" ht="15" customHeight="true">
      <c r="A23" s="74" t="s">
        <v>961</v>
      </c>
      <c r="B23" s="74" t="s">
        <v>969</v>
      </c>
      <c r="C23" s="75">
        <v>46067</v>
      </c>
      <c r="D23" s="74" t="s">
        <v>424</v>
      </c>
      <c r="E23" s="74" t="s">
        <v>985</v>
      </c>
      <c r="F23" s="74" t="s">
        <v>1002</v>
      </c>
      <c r="G23" s="78">
        <v>14.8</v>
      </c>
      <c r="H23" s="76">
        <v>85.0</v>
      </c>
      <c r="I23" s="76">
        <v>1258.0</v>
      </c>
      <c r="J23" s="74" t="s">
        <v>17</v>
      </c>
      <c r="K23" s="74"/>
    </row>
    <row r="24" ht="15" customHeight="true">
      <c r="A24" s="74" t="s">
        <v>961</v>
      </c>
      <c r="B24" s="74" t="s">
        <v>969</v>
      </c>
      <c r="C24" s="75">
        <v>46067</v>
      </c>
      <c r="D24" s="74" t="s">
        <v>424</v>
      </c>
      <c r="E24" s="74" t="s">
        <v>986</v>
      </c>
      <c r="F24" s="74" t="s">
        <v>1002</v>
      </c>
      <c r="G24" s="78">
        <v>13.8</v>
      </c>
      <c r="H24" s="76">
        <v>85.0</v>
      </c>
      <c r="I24" s="76">
        <v>1173.0</v>
      </c>
      <c r="J24" s="74" t="s">
        <v>17</v>
      </c>
      <c r="K24" s="74"/>
    </row>
    <row r="25" ht="15" customHeight="true">
      <c r="A25" s="74" t="s">
        <v>961</v>
      </c>
      <c r="B25" s="74" t="s">
        <v>969</v>
      </c>
      <c r="C25" s="75">
        <v>46067</v>
      </c>
      <c r="D25" s="74" t="s">
        <v>424</v>
      </c>
      <c r="E25" s="74" t="s">
        <v>987</v>
      </c>
      <c r="F25" s="74" t="s">
        <v>1002</v>
      </c>
      <c r="G25" s="78">
        <v>13.3</v>
      </c>
      <c r="H25" s="76">
        <v>85.0</v>
      </c>
      <c r="I25" s="76">
        <v>1130.5</v>
      </c>
      <c r="J25" s="74" t="s">
        <v>17</v>
      </c>
      <c r="K25" s="74"/>
    </row>
    <row r="26" ht="15" customHeight="true">
      <c r="A26" s="74" t="s">
        <v>961</v>
      </c>
      <c r="B26" s="74" t="s">
        <v>969</v>
      </c>
      <c r="C26" s="75">
        <v>46067</v>
      </c>
      <c r="D26" s="74" t="s">
        <v>424</v>
      </c>
      <c r="E26" s="74" t="s">
        <v>988</v>
      </c>
      <c r="F26" s="74" t="s">
        <v>1002</v>
      </c>
      <c r="G26" s="78">
        <v>3.2</v>
      </c>
      <c r="H26" s="76">
        <v>85.0</v>
      </c>
      <c r="I26" s="76">
        <v>272.0</v>
      </c>
      <c r="J26" s="74" t="s">
        <v>17</v>
      </c>
      <c r="K26" s="74"/>
    </row>
    <row r="27" ht="15" customHeight="true">
      <c r="A27" s="74" t="s">
        <v>961</v>
      </c>
      <c r="B27" s="74" t="s">
        <v>969</v>
      </c>
      <c r="C27" s="75">
        <v>46067</v>
      </c>
      <c r="D27" s="74" t="s">
        <v>424</v>
      </c>
      <c r="E27" s="74" t="s">
        <v>989</v>
      </c>
      <c r="F27" s="74" t="s">
        <v>1002</v>
      </c>
      <c r="G27" s="78">
        <v>8.3</v>
      </c>
      <c r="H27" s="76">
        <v>85.0</v>
      </c>
      <c r="I27" s="76">
        <v>705.5</v>
      </c>
      <c r="J27" s="74" t="s">
        <v>17</v>
      </c>
      <c r="K27" s="74"/>
    </row>
    <row r="28" ht="15" customHeight="true">
      <c r="A28" s="74" t="s">
        <v>961</v>
      </c>
      <c r="B28" s="74" t="s">
        <v>969</v>
      </c>
      <c r="C28" s="75">
        <v>46067</v>
      </c>
      <c r="D28" s="74" t="s">
        <v>424</v>
      </c>
      <c r="E28" s="74" t="s">
        <v>978</v>
      </c>
      <c r="F28" s="74" t="s">
        <v>1003</v>
      </c>
      <c r="G28" s="78">
        <v>217.0</v>
      </c>
      <c r="H28" s="76">
        <v>15.0</v>
      </c>
      <c r="I28" s="76">
        <v>3255.0</v>
      </c>
      <c r="J28" s="74" t="s">
        <v>978</v>
      </c>
      <c r="K28" s="74"/>
    </row>
    <row r="29" ht="15" customHeight="true">
      <c r="A29" s="77" t="s">
        <v>200</v>
      </c>
      <c r="B29" s="77" t="s">
        <v>201</v>
      </c>
      <c r="C29" s="77"/>
      <c r="D29" s="77"/>
      <c r="E29" s="77"/>
      <c r="F29" s="77"/>
      <c r="G29" s="77"/>
      <c r="H29" s="77"/>
      <c r="I29" s="77"/>
      <c r="J29" s="77"/>
      <c r="K29" s="77"/>
    </row>
    <row r="30" ht="15" customHeight="true">
      <c r="A30" s="74" t="s">
        <v>200</v>
      </c>
      <c r="B30" s="74" t="s">
        <v>952</v>
      </c>
      <c r="C30" s="75">
        <v>46078</v>
      </c>
      <c r="D30" s="74" t="s">
        <v>201</v>
      </c>
      <c r="E30" s="74" t="s">
        <v>921</v>
      </c>
      <c r="F30" s="74" t="s">
        <v>1001</v>
      </c>
      <c r="G30" s="78">
        <v>1.0</v>
      </c>
      <c r="H30" s="76">
        <v>11533.18</v>
      </c>
      <c r="I30" s="76">
        <v>11533.18</v>
      </c>
      <c r="J30" s="74" t="s">
        <v>15</v>
      </c>
      <c r="K30" s="74"/>
    </row>
    <row r="31" ht="15" customHeight="true">
      <c r="A31" s="77" t="s">
        <v>886</v>
      </c>
      <c r="B31" s="77" t="s">
        <v>976</v>
      </c>
      <c r="C31" s="77"/>
      <c r="D31" s="77"/>
      <c r="E31" s="77"/>
      <c r="F31" s="77"/>
      <c r="G31" s="77"/>
      <c r="H31" s="77"/>
      <c r="I31" s="77"/>
      <c r="J31" s="77"/>
      <c r="K31" s="77"/>
    </row>
    <row r="32" ht="15" customHeight="true">
      <c r="A32" s="74" t="s">
        <v>886</v>
      </c>
      <c r="B32" s="74" t="s">
        <v>970</v>
      </c>
      <c r="C32" s="75">
        <v>46071</v>
      </c>
      <c r="D32" s="74" t="s">
        <v>976</v>
      </c>
      <c r="E32" s="74" t="s">
        <v>990</v>
      </c>
      <c r="F32" s="74" t="s">
        <v>1001</v>
      </c>
      <c r="G32" s="78">
        <v>1.0</v>
      </c>
      <c r="H32" s="76">
        <v>255.0</v>
      </c>
      <c r="I32" s="76">
        <v>255.0</v>
      </c>
      <c r="J32" s="74" t="s">
        <v>15</v>
      </c>
      <c r="K32" s="74"/>
    </row>
    <row r="33" ht="15" customHeight="true">
      <c r="A33" s="74" t="s">
        <v>886</v>
      </c>
      <c r="B33" s="74" t="s">
        <v>970</v>
      </c>
      <c r="C33" s="75">
        <v>46071</v>
      </c>
      <c r="D33" s="74" t="s">
        <v>976</v>
      </c>
      <c r="E33" s="74" t="s">
        <v>762</v>
      </c>
      <c r="F33" s="74" t="s">
        <v>1001</v>
      </c>
      <c r="G33" s="78">
        <v>1.0</v>
      </c>
      <c r="H33" s="76">
        <v>30.0</v>
      </c>
      <c r="I33" s="76">
        <v>30.0</v>
      </c>
      <c r="J33" s="74" t="s">
        <v>762</v>
      </c>
      <c r="K33" s="74"/>
    </row>
    <row r="34" ht="15" customHeight="true">
      <c r="A34" s="77" t="s">
        <v>915</v>
      </c>
      <c r="B34" s="77" t="s">
        <v>69</v>
      </c>
      <c r="C34" s="77"/>
      <c r="D34" s="77"/>
      <c r="E34" s="77"/>
      <c r="F34" s="77"/>
      <c r="G34" s="77"/>
      <c r="H34" s="77"/>
      <c r="I34" s="77"/>
      <c r="J34" s="77"/>
      <c r="K34" s="77"/>
    </row>
    <row r="35" ht="15" customHeight="true">
      <c r="A35" s="74" t="s">
        <v>915</v>
      </c>
      <c r="B35" s="74" t="s">
        <v>971</v>
      </c>
      <c r="C35" s="75">
        <v>46074</v>
      </c>
      <c r="D35" s="74" t="s">
        <v>69</v>
      </c>
      <c r="E35" s="74" t="s">
        <v>991</v>
      </c>
      <c r="F35" s="74" t="s">
        <v>1001</v>
      </c>
      <c r="G35" s="78">
        <v>1.0</v>
      </c>
      <c r="H35" s="76">
        <v>337.5</v>
      </c>
      <c r="I35" s="76">
        <v>337.5</v>
      </c>
      <c r="J35" s="74" t="s">
        <v>15</v>
      </c>
      <c r="K35" s="74" t="s">
        <v>1005</v>
      </c>
    </row>
    <row r="36" ht="15" customHeight="true">
      <c r="A36" s="74" t="s">
        <v>915</v>
      </c>
      <c r="B36" s="74" t="s">
        <v>971</v>
      </c>
      <c r="C36" s="75">
        <v>46074</v>
      </c>
      <c r="D36" s="74" t="s">
        <v>69</v>
      </c>
      <c r="E36" s="74" t="s">
        <v>762</v>
      </c>
      <c r="F36" s="74" t="s">
        <v>1001</v>
      </c>
      <c r="G36" s="78">
        <v>1.0</v>
      </c>
      <c r="H36" s="76">
        <v>50.0</v>
      </c>
      <c r="I36" s="76">
        <v>50.0</v>
      </c>
      <c r="J36" s="74" t="s">
        <v>762</v>
      </c>
      <c r="K36" s="74"/>
    </row>
    <row r="37" ht="15" customHeight="true">
      <c r="A37" s="77" t="s">
        <v>433</v>
      </c>
      <c r="B37" s="77" t="s">
        <v>882</v>
      </c>
      <c r="C37" s="77"/>
      <c r="D37" s="77"/>
      <c r="E37" s="77"/>
      <c r="F37" s="77"/>
      <c r="G37" s="77"/>
      <c r="H37" s="77"/>
      <c r="I37" s="77"/>
      <c r="J37" s="77"/>
      <c r="K37" s="77"/>
    </row>
    <row r="38" ht="15" customHeight="true">
      <c r="A38" s="74" t="s">
        <v>433</v>
      </c>
      <c r="B38" s="74" t="s">
        <v>972</v>
      </c>
      <c r="C38" s="75">
        <v>46070</v>
      </c>
      <c r="D38" s="74" t="s">
        <v>882</v>
      </c>
      <c r="E38" s="74" t="s">
        <v>992</v>
      </c>
      <c r="F38" s="74" t="s">
        <v>1001</v>
      </c>
      <c r="G38" s="78">
        <v>1.0</v>
      </c>
      <c r="H38" s="76">
        <v>370.0</v>
      </c>
      <c r="I38" s="76">
        <v>370.0</v>
      </c>
      <c r="J38" s="74" t="s">
        <v>15</v>
      </c>
      <c r="K38" s="74"/>
    </row>
    <row r="39" ht="15" customHeight="true">
      <c r="A39" s="77" t="s">
        <v>859</v>
      </c>
      <c r="B39" s="77" t="s">
        <v>163</v>
      </c>
      <c r="C39" s="77"/>
      <c r="D39" s="77"/>
      <c r="E39" s="77"/>
      <c r="F39" s="77"/>
      <c r="G39" s="77"/>
      <c r="H39" s="77"/>
      <c r="I39" s="77"/>
      <c r="J39" s="77"/>
      <c r="K39" s="77"/>
    </row>
    <row r="40" ht="15" customHeight="true">
      <c r="A40" s="74" t="s">
        <v>859</v>
      </c>
      <c r="B40" s="74" t="s">
        <v>1025</v>
      </c>
      <c r="C40" s="75">
        <v>46067</v>
      </c>
      <c r="D40" s="74" t="s">
        <v>163</v>
      </c>
      <c r="E40" s="74" t="s">
        <v>993</v>
      </c>
      <c r="F40" s="74" t="s">
        <v>1002</v>
      </c>
      <c r="G40" s="78">
        <v>23.3</v>
      </c>
      <c r="H40" s="76">
        <v>80.0</v>
      </c>
      <c r="I40" s="76">
        <v>1864.0</v>
      </c>
      <c r="J40" s="74" t="s">
        <v>17</v>
      </c>
      <c r="K40" s="74"/>
    </row>
    <row r="41" ht="15" customHeight="true">
      <c r="A41" s="74" t="s">
        <v>859</v>
      </c>
      <c r="B41" s="74" t="s">
        <v>1025</v>
      </c>
      <c r="C41" s="75">
        <v>46067</v>
      </c>
      <c r="D41" s="74" t="s">
        <v>163</v>
      </c>
      <c r="F41" s="74" t="s">
        <v>1002</v>
      </c>
      <c r="G41" s="78">
        <v>44.85</v>
      </c>
      <c r="H41" s="76">
        <v>80.0</v>
      </c>
      <c r="I41" s="76">
        <v>3588.0</v>
      </c>
      <c r="J41" s="74" t="s">
        <v>17</v>
      </c>
      <c r="K41" s="74"/>
      <c r="E41" s="74" t="s">
        <v>995</v>
      </c>
    </row>
    <row r="42" ht="15" customHeight="true">
      <c r="A42" s="74" t="s">
        <v>859</v>
      </c>
      <c r="B42" s="74" t="s">
        <v>973</v>
      </c>
      <c r="C42" s="75">
        <v>46067</v>
      </c>
      <c r="D42" s="74" t="s">
        <v>163</v>
      </c>
      <c r="F42" s="74" t="s">
        <v>1002</v>
      </c>
      <c r="G42" s="78">
        <v>0</v>
      </c>
      <c r="H42" s="76">
        <v>0</v>
      </c>
      <c r="I42" s="76">
        <v>0</v>
      </c>
      <c r="J42" s="74" t="s">
        <v>17</v>
      </c>
      <c r="K42" s="74"/>
      <c r="E42" s="74" t="s">
        <v>1026</v>
      </c>
      <c r="K42" s="74" t="s">
        <v>1027</v>
      </c>
    </row>
    <row r="43" ht="15" customHeight="true">
      <c r="A43" s="74" t="s">
        <v>859</v>
      </c>
      <c r="B43" s="74" t="s">
        <v>973</v>
      </c>
      <c r="C43" s="75">
        <v>46067</v>
      </c>
      <c r="D43" s="74" t="s">
        <v>163</v>
      </c>
      <c r="F43" s="74" t="s">
        <v>1001</v>
      </c>
      <c r="G43" s="78">
        <v>0</v>
      </c>
      <c r="H43" s="76">
        <v>0</v>
      </c>
      <c r="I43" s="76">
        <v>0</v>
      </c>
      <c r="J43" s="74" t="s">
        <v>978</v>
      </c>
      <c r="K43" s="74"/>
      <c r="E43" s="74" t="s">
        <v>1028</v>
      </c>
      <c r="K43" s="74" t="s">
        <v>1027</v>
      </c>
    </row>
    <row r="44" ht="15" customHeight="true">
      <c r="A44" s="77" t="s">
        <v>891</v>
      </c>
      <c r="B44" s="77" t="s">
        <v>892</v>
      </c>
      <c r="C44" s="77"/>
      <c r="D44" s="77"/>
      <c r="E44" s="77"/>
      <c r="F44" s="77"/>
      <c r="G44" s="77"/>
      <c r="H44" s="77"/>
      <c r="I44" s="77"/>
      <c r="J44" s="77"/>
      <c r="K44" s="77"/>
    </row>
    <row r="45" ht="15" customHeight="true">
      <c r="A45" s="74" t="s">
        <v>891</v>
      </c>
      <c r="B45" s="74" t="s">
        <v>974</v>
      </c>
      <c r="C45" s="75">
        <v>46074</v>
      </c>
      <c r="D45" s="74" t="s">
        <v>892</v>
      </c>
      <c r="E45" s="74" t="s">
        <v>997</v>
      </c>
      <c r="F45" s="74" t="s">
        <v>1001</v>
      </c>
      <c r="G45" s="78">
        <v>1.0</v>
      </c>
      <c r="H45" s="76">
        <v>423.73</v>
      </c>
      <c r="I45" s="76">
        <v>423.73</v>
      </c>
      <c r="J45" s="74" t="s">
        <v>15</v>
      </c>
      <c r="K45" s="74" t="s">
        <v>1006</v>
      </c>
    </row>
    <row r="46" ht="15" customHeight="true">
      <c r="A46" s="77" t="s">
        <v>962</v>
      </c>
      <c r="B46" s="77" t="s">
        <v>429</v>
      </c>
      <c r="C46" s="77"/>
      <c r="D46" s="77"/>
      <c r="E46" s="77"/>
      <c r="F46" s="77"/>
      <c r="G46" s="77"/>
      <c r="H46" s="77"/>
      <c r="I46" s="77"/>
      <c r="J46" s="77"/>
      <c r="K46" s="77"/>
    </row>
    <row r="47" ht="15" customHeight="true">
      <c r="A47" s="74" t="s">
        <v>962</v>
      </c>
      <c r="B47" s="74" t="s">
        <v>975</v>
      </c>
      <c r="C47" s="75">
        <v>46065</v>
      </c>
      <c r="D47" s="74" t="s">
        <v>429</v>
      </c>
      <c r="E47" s="74" t="s">
        <v>998</v>
      </c>
      <c r="F47" s="74" t="s">
        <v>1001</v>
      </c>
      <c r="G47" s="78">
        <v>1.0</v>
      </c>
      <c r="H47" s="76">
        <v>349.5</v>
      </c>
      <c r="I47" s="76">
        <v>349.5</v>
      </c>
      <c r="J47" s="74" t="s">
        <v>17</v>
      </c>
      <c r="K47" s="74"/>
    </row>
    <row r="48" ht="15" customHeight="true">
      <c r="A48" s="74" t="s">
        <v>962</v>
      </c>
      <c r="B48" s="74" t="s">
        <v>975</v>
      </c>
      <c r="C48" s="75">
        <v>46065</v>
      </c>
      <c r="D48" s="74" t="s">
        <v>429</v>
      </c>
      <c r="E48" s="74" t="s">
        <v>978</v>
      </c>
      <c r="F48" s="74" t="s">
        <v>1001</v>
      </c>
      <c r="G48" s="78">
        <v>1.0</v>
      </c>
      <c r="H48" s="76">
        <v>198.0</v>
      </c>
      <c r="I48" s="76">
        <v>198.0</v>
      </c>
      <c r="J48" s="74" t="s">
        <v>978</v>
      </c>
      <c r="K48" s="74"/>
    </row>
    <row r="49" ht="15" customHeight="true">
      <c r="A49" s="74" t="s">
        <v>962</v>
      </c>
      <c r="B49" s="74" t="s">
        <v>975</v>
      </c>
      <c r="C49" s="75">
        <v>46065</v>
      </c>
      <c r="D49" s="74" t="s">
        <v>429</v>
      </c>
      <c r="E49" s="74" t="s">
        <v>762</v>
      </c>
      <c r="F49" s="74" t="s">
        <v>1001</v>
      </c>
      <c r="G49" s="78">
        <v>1.0</v>
      </c>
      <c r="H49" s="76">
        <v>35.0</v>
      </c>
      <c r="I49" s="76">
        <v>35.0</v>
      </c>
      <c r="J49" s="74" t="s">
        <v>762</v>
      </c>
      <c r="K49" s="74"/>
    </row>
    <row r="50" ht="15" customHeight="true">
      <c r="A50" s="74" t="s">
        <v>962</v>
      </c>
      <c r="B50" s="74" t="s">
        <v>975</v>
      </c>
      <c r="C50" s="75">
        <v>46065</v>
      </c>
      <c r="D50" s="74" t="s">
        <v>429</v>
      </c>
      <c r="E50" s="74" t="s">
        <v>999</v>
      </c>
      <c r="F50" s="74" t="s">
        <v>1001</v>
      </c>
      <c r="G50" s="78">
        <v>1.0</v>
      </c>
      <c r="H50" s="76">
        <v>70.0</v>
      </c>
      <c r="I50" s="76">
        <v>70.0</v>
      </c>
      <c r="J50" s="74" t="s">
        <v>17</v>
      </c>
      <c r="K50" s="74"/>
    </row>
    <row r="51" ht="15" customHeight="true">
      <c r="A51" s="77" t="s">
        <v>1029</v>
      </c>
      <c r="B51" s="77" t="s">
        <v>247</v>
      </c>
      <c r="C51" s="77"/>
      <c r="D51" s="77"/>
      <c r="E51" s="77"/>
      <c r="F51" s="77"/>
      <c r="G51" s="77"/>
      <c r="H51" s="77"/>
      <c r="I51" s="77"/>
      <c r="J51" s="77"/>
      <c r="K51" s="77"/>
    </row>
    <row r="52" ht="15" customHeight="true">
      <c r="A52" s="74" t="s">
        <v>1029</v>
      </c>
      <c r="B52" s="74" t="s">
        <v>1030</v>
      </c>
      <c r="C52" s="75">
        <v>46083</v>
      </c>
      <c r="D52" s="74" t="s">
        <v>247</v>
      </c>
      <c r="E52" s="74" t="s">
        <v>1031</v>
      </c>
      <c r="F52" s="74" t="s">
        <v>1002</v>
      </c>
      <c r="G52" s="78">
        <v>279.0</v>
      </c>
      <c r="H52" s="76">
        <v>68.0</v>
      </c>
      <c r="I52" s="76">
        <v>18972.0</v>
      </c>
      <c r="J52" s="74" t="s">
        <v>15</v>
      </c>
      <c r="K52" s="74"/>
    </row>
    <row r="53" ht="15" customHeight="true">
      <c r="A53" s="74" t="s">
        <v>1029</v>
      </c>
      <c r="B53" s="74" t="s">
        <v>1030</v>
      </c>
      <c r="C53" s="75">
        <v>46083</v>
      </c>
      <c r="D53" s="74" t="s">
        <v>247</v>
      </c>
      <c r="E53" s="74" t="s">
        <v>1032</v>
      </c>
      <c r="F53" s="74" t="s">
        <v>1002</v>
      </c>
      <c r="G53" s="78">
        <v>38.0</v>
      </c>
      <c r="H53" s="76">
        <v>68.0</v>
      </c>
      <c r="I53" s="76">
        <v>2584.0</v>
      </c>
      <c r="J53" s="74" t="s">
        <v>15</v>
      </c>
      <c r="K53" s="74"/>
    </row>
    <row r="54" ht="15" customHeight="true">
      <c r="A54" s="74" t="s">
        <v>1029</v>
      </c>
      <c r="B54" s="74" t="s">
        <v>1030</v>
      </c>
      <c r="C54" s="75">
        <v>46083</v>
      </c>
      <c r="D54" s="74" t="s">
        <v>247</v>
      </c>
      <c r="E54" s="74" t="s">
        <v>1033</v>
      </c>
      <c r="F54" s="74" t="s">
        <v>1002</v>
      </c>
      <c r="G54" s="78">
        <v>162.0</v>
      </c>
      <c r="H54" s="76">
        <v>68.0</v>
      </c>
      <c r="I54" s="76">
        <v>11016.0</v>
      </c>
      <c r="J54" s="74" t="s">
        <v>15</v>
      </c>
      <c r="K54" s="74"/>
    </row>
    <row r="55" ht="15" customHeight="true">
      <c r="A55" s="74" t="s">
        <v>1029</v>
      </c>
      <c r="B55" s="74" t="s">
        <v>1030</v>
      </c>
      <c r="C55" s="75">
        <v>46083</v>
      </c>
      <c r="D55" s="74" t="s">
        <v>247</v>
      </c>
      <c r="E55" s="74" t="s">
        <v>1034</v>
      </c>
      <c r="F55" s="74" t="s">
        <v>1002</v>
      </c>
      <c r="G55" s="78">
        <v>104.0</v>
      </c>
      <c r="H55" s="76">
        <v>40.0</v>
      </c>
      <c r="I55" s="76">
        <v>4160.0</v>
      </c>
      <c r="J55" s="74" t="s">
        <v>15</v>
      </c>
      <c r="K55" s="74"/>
    </row>
    <row r="56" ht="15" customHeight="true">
      <c r="A56" s="74" t="s">
        <v>1029</v>
      </c>
      <c r="B56" s="74" t="s">
        <v>1035</v>
      </c>
      <c r="C56" s="75">
        <v>46083</v>
      </c>
      <c r="D56" s="74" t="s">
        <v>247</v>
      </c>
      <c r="E56" s="74" t="s">
        <v>1036</v>
      </c>
      <c r="F56" s="74" t="s">
        <v>1002</v>
      </c>
      <c r="G56" s="78">
        <v>441.0</v>
      </c>
      <c r="H56" s="76">
        <v>40.0</v>
      </c>
      <c r="I56" s="76">
        <v>17640.0</v>
      </c>
      <c r="J56" s="74" t="s">
        <v>1020</v>
      </c>
      <c r="K56" s="74" t="s">
        <v>1021</v>
      </c>
    </row>
    <row r="57" ht="15" customHeight="true">
      <c r="A57" s="74" t="s">
        <v>1029</v>
      </c>
      <c r="B57" s="74" t="s">
        <v>1035</v>
      </c>
      <c r="C57" s="75">
        <v>46083</v>
      </c>
      <c r="D57" s="74" t="s">
        <v>247</v>
      </c>
      <c r="E57" s="74" t="s">
        <v>1037</v>
      </c>
      <c r="F57" s="74" t="s">
        <v>1003</v>
      </c>
      <c r="G57" s="78">
        <v>114.0</v>
      </c>
      <c r="H57" s="76">
        <v>15.0</v>
      </c>
      <c r="I57" s="76">
        <v>1710.0</v>
      </c>
      <c r="J57" s="74" t="s">
        <v>1020</v>
      </c>
      <c r="K57" s="74" t="s">
        <v>1021</v>
      </c>
    </row>
    <row r="58" ht="15" customHeight="true">
      <c r="A58" s="74" t="s">
        <v>1029</v>
      </c>
      <c r="B58" s="74" t="s">
        <v>1035</v>
      </c>
      <c r="C58" s="75">
        <v>46083</v>
      </c>
      <c r="D58" s="74" t="s">
        <v>247</v>
      </c>
      <c r="E58" s="74" t="s">
        <v>1038</v>
      </c>
      <c r="F58" s="74" t="s">
        <v>1002</v>
      </c>
      <c r="G58" s="78">
        <v>105.0</v>
      </c>
      <c r="H58" s="76">
        <v>35.0</v>
      </c>
      <c r="I58" s="76">
        <v>3675.0</v>
      </c>
      <c r="J58" s="74" t="s">
        <v>1020</v>
      </c>
      <c r="K58" s="74" t="s">
        <v>1021</v>
      </c>
    </row>
    <row r="59">
      <c r="A59" t="s">
        <v>1064</v>
      </c>
      <c r="B59" t="s">
        <v>1042</v>
      </c>
    </row>
    <row r="60">
      <c r="A60" t="s">
        <v>1041</v>
      </c>
      <c r="B60" t="s">
        <v>1044</v>
      </c>
      <c r="C60">
        <v>46087</v>
      </c>
      <c r="D60" t="s">
        <v>1042</v>
      </c>
      <c r="E60" t="s">
        <v>1065</v>
      </c>
      <c r="F60" t="s">
        <v>1001</v>
      </c>
      <c r="G60">
        <v>1.0</v>
      </c>
      <c r="H60">
        <v>980.0</v>
      </c>
      <c r="I60">
        <v>980.0</v>
      </c>
      <c r="J60" t="s">
        <v>15</v>
      </c>
      <c r="K60" t="s">
        <v>1066</v>
      </c>
    </row>
    <row r="61">
      <c r="A61" t="s">
        <v>1041</v>
      </c>
      <c r="B61" t="s">
        <v>1044</v>
      </c>
      <c r="C61">
        <v>46087</v>
      </c>
      <c r="D61" t="s">
        <v>1042</v>
      </c>
      <c r="E61" t="s">
        <v>762</v>
      </c>
      <c r="F61" t="s">
        <v>1001</v>
      </c>
      <c r="G61">
        <v>1.0</v>
      </c>
      <c r="H61">
        <v>50.0</v>
      </c>
      <c r="I61">
        <v>50.0</v>
      </c>
      <c r="J61" t="s">
        <v>762</v>
      </c>
    </row>
    <row r="62">
      <c r="A62" t="s">
        <v>1067</v>
      </c>
      <c r="B62" t="s">
        <v>111</v>
      </c>
    </row>
    <row r="63">
      <c r="A63" t="s">
        <v>110</v>
      </c>
      <c r="B63" t="s">
        <v>1068</v>
      </c>
      <c r="C63">
        <v>46087</v>
      </c>
      <c r="D63" t="s">
        <v>111</v>
      </c>
      <c r="E63" t="s">
        <v>1069</v>
      </c>
      <c r="F63" t="s">
        <v>1003</v>
      </c>
      <c r="G63">
        <v>81.37</v>
      </c>
      <c r="H63">
        <v>23.0</v>
      </c>
      <c r="I63">
        <v>1871.51</v>
      </c>
      <c r="J63" t="s">
        <v>17</v>
      </c>
    </row>
    <row r="64">
      <c r="A64" t="s">
        <v>110</v>
      </c>
      <c r="B64" t="s">
        <v>1068</v>
      </c>
      <c r="C64">
        <v>46087</v>
      </c>
      <c r="D64" t="s">
        <v>111</v>
      </c>
      <c r="E64" t="s">
        <v>1070</v>
      </c>
      <c r="F64" t="s">
        <v>1003</v>
      </c>
      <c r="G64">
        <v>7.15</v>
      </c>
      <c r="H64">
        <v>19.0</v>
      </c>
      <c r="I64">
        <v>135.85</v>
      </c>
      <c r="J64" t="s">
        <v>17</v>
      </c>
    </row>
    <row r="65">
      <c r="A65" t="s">
        <v>110</v>
      </c>
      <c r="B65" t="s">
        <v>1068</v>
      </c>
      <c r="C65">
        <v>46087</v>
      </c>
      <c r="D65" t="s">
        <v>111</v>
      </c>
      <c r="E65" t="s">
        <v>1071</v>
      </c>
      <c r="F65" t="s">
        <v>1002</v>
      </c>
      <c r="G65">
        <v>0.77</v>
      </c>
      <c r="H65">
        <v>90.0</v>
      </c>
      <c r="I65">
        <v>69.3</v>
      </c>
      <c r="J65" t="s">
        <v>17</v>
      </c>
    </row>
    <row r="66">
      <c r="A66" t="s">
        <v>110</v>
      </c>
      <c r="B66" t="s">
        <v>1068</v>
      </c>
      <c r="C66">
        <v>46087</v>
      </c>
      <c r="D66" t="s">
        <v>111</v>
      </c>
      <c r="E66" t="s">
        <v>1072</v>
      </c>
      <c r="F66" t="s">
        <v>1001</v>
      </c>
      <c r="G66">
        <v>1.0</v>
      </c>
      <c r="H66">
        <v>1555.0</v>
      </c>
      <c r="I66">
        <v>1555.0</v>
      </c>
      <c r="J66" t="s">
        <v>978</v>
      </c>
    </row>
    <row r="67">
      <c r="A67" t="s">
        <v>1073</v>
      </c>
      <c r="B67" t="s">
        <v>1074</v>
      </c>
    </row>
    <row r="68">
      <c r="A68" t="s">
        <v>1049</v>
      </c>
      <c r="B68" t="s">
        <v>1052</v>
      </c>
      <c r="C68">
        <v>45901</v>
      </c>
      <c r="D68" t="s">
        <v>1074</v>
      </c>
      <c r="E68" t="s">
        <v>1075</v>
      </c>
      <c r="F68" t="s">
        <v>1001</v>
      </c>
      <c r="G68">
        <v>1.0</v>
      </c>
      <c r="H68">
        <v>3786.0</v>
      </c>
      <c r="I68">
        <v>3786.0</v>
      </c>
      <c r="J68" t="s">
        <v>17</v>
      </c>
      <c r="K68" t="s">
        <v>1076</v>
      </c>
    </row>
    <row r="69">
      <c r="A69" t="s">
        <v>1077</v>
      </c>
      <c r="B69" t="s">
        <v>1078</v>
      </c>
    </row>
    <row r="70">
      <c r="A70" t="s">
        <v>1055</v>
      </c>
      <c r="B70" t="s">
        <v>1059</v>
      </c>
      <c r="C70">
        <v>46090</v>
      </c>
      <c r="D70" t="s">
        <v>1078</v>
      </c>
      <c r="E70" t="s">
        <v>1079</v>
      </c>
      <c r="F70" t="s">
        <v>1003</v>
      </c>
      <c r="G70">
        <v>246.21</v>
      </c>
      <c r="H70">
        <v>16.0</v>
      </c>
      <c r="I70">
        <v>3939.36</v>
      </c>
      <c r="J70" t="s">
        <v>15</v>
      </c>
    </row>
    <row r="71">
      <c r="A71" t="s">
        <v>1055</v>
      </c>
      <c r="B71" t="s">
        <v>1059</v>
      </c>
      <c r="C71">
        <v>46090</v>
      </c>
      <c r="D71" t="s">
        <v>1078</v>
      </c>
      <c r="E71" t="s">
        <v>1080</v>
      </c>
      <c r="F71" t="s">
        <v>1003</v>
      </c>
      <c r="G71">
        <v>14.8</v>
      </c>
      <c r="H71">
        <v>17.2</v>
      </c>
      <c r="I71">
        <v>254.56</v>
      </c>
      <c r="J71" t="s">
        <v>15</v>
      </c>
    </row>
    <row r="72">
      <c r="A72" t="s">
        <v>1055</v>
      </c>
      <c r="B72" t="s">
        <v>1059</v>
      </c>
      <c r="C72">
        <v>46090</v>
      </c>
      <c r="D72" t="s">
        <v>1078</v>
      </c>
      <c r="E72" t="s">
        <v>1081</v>
      </c>
      <c r="F72" t="s">
        <v>1003</v>
      </c>
      <c r="G72">
        <v>15.0</v>
      </c>
      <c r="H72">
        <v>23.8</v>
      </c>
      <c r="I72">
        <v>357.0</v>
      </c>
      <c r="J72" t="s">
        <v>15</v>
      </c>
    </row>
  </sheetData>
  <mergeCells count="14">
    <mergeCell ref="A1:K1"/>
    <mergeCell ref="A3:C3"/>
    <mergeCell ref="A10:C10"/>
    <mergeCell ref="A13:C13"/>
    <mergeCell ref="A15:C15"/>
    <mergeCell ref="A19:C19"/>
    <mergeCell ref="A22:C22"/>
    <mergeCell ref="A29:C29"/>
    <mergeCell ref="A31:C31"/>
    <mergeCell ref="A34:C34"/>
    <mergeCell ref="A37:C37"/>
    <mergeCell ref="A39:C39"/>
    <mergeCell ref="A44:C44"/>
    <mergeCell ref="A46:C4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2026-06-23T13:40:56Z</dcterms:created>
  <dc:creator>openpyxl</dc:creator>
  <dc:description/>
  <dc:language>en-US</dc:language>
  <cp:lastModifiedBy/>
  <dcterms:modified xsi:type="dcterms:W3CDTF">2026-06-24T06:30:12Z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